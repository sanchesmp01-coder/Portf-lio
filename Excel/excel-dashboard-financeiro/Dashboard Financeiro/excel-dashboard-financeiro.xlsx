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Github\Portfolio\Portfólio\Excel\excel-dashboard-financeiro\Dashboard Financeiro\"/>
    </mc:Choice>
  </mc:AlternateContent>
  <bookViews>
    <workbookView xWindow="0" yWindow="0" windowWidth="12990" windowHeight="5865" activeTab="3"/>
  </bookViews>
  <sheets>
    <sheet name="BASE DE DADOS" sheetId="7" r:id="rId1"/>
    <sheet name="CONTAS A PAGAR" sheetId="5" r:id="rId2"/>
    <sheet name="CONTAS A RECEBER" sheetId="4" r:id="rId3"/>
    <sheet name="ANALISES" sheetId="3" r:id="rId4"/>
  </sheets>
  <calcPr calcId="162913"/>
  <pivotCaches>
    <pivotCache cacheId="0" r:id="rId5"/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7" l="1"/>
  <c r="K10" i="7"/>
  <c r="K11" i="7"/>
  <c r="K12" i="7"/>
  <c r="K14" i="7"/>
  <c r="K15" i="7"/>
  <c r="K16" i="7"/>
  <c r="K18" i="7"/>
  <c r="K20" i="7"/>
  <c r="K21" i="7"/>
  <c r="K22" i="7"/>
  <c r="K23" i="7"/>
  <c r="K24" i="7"/>
  <c r="K25" i="7"/>
  <c r="K26" i="7"/>
  <c r="K27" i="7"/>
  <c r="K28" i="7"/>
  <c r="K29" i="7"/>
  <c r="K33" i="7"/>
  <c r="K34" i="7"/>
  <c r="K35" i="7"/>
  <c r="K36" i="7"/>
  <c r="K37" i="7"/>
  <c r="K39" i="7"/>
  <c r="K41" i="7"/>
  <c r="K42" i="7"/>
  <c r="K43" i="7"/>
  <c r="K44" i="7"/>
  <c r="K45" i="7"/>
  <c r="K46" i="7"/>
  <c r="K47" i="7"/>
  <c r="K49" i="7"/>
  <c r="K50" i="7"/>
  <c r="K53" i="7"/>
  <c r="K54" i="7"/>
  <c r="K4" i="7"/>
  <c r="K5" i="7"/>
  <c r="K6" i="7"/>
  <c r="K7" i="7"/>
  <c r="K8" i="7"/>
  <c r="L13" i="7"/>
  <c r="K13" i="7" s="1"/>
  <c r="L17" i="7"/>
  <c r="K17" i="7" s="1"/>
  <c r="L19" i="7"/>
  <c r="K19" i="7" s="1"/>
  <c r="G30" i="7"/>
  <c r="K30" i="7" s="1"/>
  <c r="G31" i="7"/>
  <c r="K31" i="7" s="1"/>
  <c r="L32" i="7"/>
  <c r="K32" i="7" s="1"/>
  <c r="L38" i="7"/>
  <c r="K38" i="7" s="1"/>
  <c r="L40" i="7"/>
  <c r="K40" i="7" s="1"/>
  <c r="L48" i="7"/>
  <c r="K48" i="7" s="1"/>
  <c r="L51" i="7"/>
  <c r="K51" i="7" s="1"/>
  <c r="L52" i="7"/>
  <c r="K52" i="7" s="1"/>
  <c r="L55" i="7"/>
  <c r="K55" i="7" s="1"/>
  <c r="F6" i="5"/>
  <c r="G7" i="5"/>
  <c r="F7" i="5" s="1"/>
  <c r="F8" i="5"/>
  <c r="F9" i="5"/>
  <c r="F10" i="5"/>
  <c r="G11" i="5"/>
  <c r="F11" i="5" s="1"/>
  <c r="F12" i="5"/>
  <c r="F13" i="5"/>
  <c r="F14" i="5"/>
  <c r="F15" i="5"/>
  <c r="F16" i="5"/>
  <c r="F17" i="5"/>
  <c r="F18" i="5"/>
  <c r="F19" i="5"/>
  <c r="F20" i="5"/>
  <c r="F21" i="5"/>
  <c r="F22" i="5"/>
  <c r="F23" i="5"/>
  <c r="G24" i="5"/>
  <c r="F24" i="5" s="1"/>
  <c r="F25" i="5"/>
  <c r="F26" i="5"/>
  <c r="F27" i="5"/>
  <c r="G28" i="5"/>
  <c r="F28" i="5" s="1"/>
  <c r="F29" i="5"/>
  <c r="F30" i="5"/>
  <c r="F31" i="5"/>
  <c r="F7" i="4" l="1"/>
  <c r="F8" i="4"/>
  <c r="F10" i="4"/>
  <c r="F11" i="4"/>
  <c r="F13" i="4"/>
  <c r="F14" i="4"/>
  <c r="F15" i="4"/>
  <c r="F16" i="4"/>
  <c r="F17" i="4"/>
  <c r="F18" i="4"/>
  <c r="F19" i="4"/>
  <c r="F21" i="4"/>
  <c r="F22" i="4"/>
  <c r="F23" i="4"/>
  <c r="F26" i="4"/>
  <c r="G6" i="4"/>
  <c r="F6" i="4" s="1"/>
  <c r="G9" i="4"/>
  <c r="F9" i="4" s="1"/>
  <c r="G12" i="4"/>
  <c r="F12" i="4" s="1"/>
  <c r="F20" i="4"/>
  <c r="G24" i="4"/>
  <c r="F24" i="4" s="1"/>
  <c r="G25" i="4"/>
  <c r="F25" i="4" s="1"/>
  <c r="G27" i="4"/>
  <c r="F27" i="4" s="1"/>
  <c r="F28" i="4"/>
  <c r="F29" i="4"/>
  <c r="B5" i="5"/>
  <c r="F5" i="5" s="1"/>
  <c r="B5" i="4"/>
  <c r="F5" i="4" s="1"/>
  <c r="D31" i="3"/>
  <c r="C31" i="3"/>
  <c r="C30" i="3"/>
</calcChain>
</file>

<file path=xl/comments1.xml><?xml version="1.0" encoding="utf-8"?>
<comments xmlns="http://schemas.openxmlformats.org/spreadsheetml/2006/main">
  <authors>
    <author>HP</author>
  </authors>
  <commentList>
    <comment ref="G33" authorId="0" shapeId="0">
      <text>
        <r>
          <rPr>
            <b/>
            <sz val="9"/>
            <color indexed="81"/>
            <rFont val="Segoe UI"/>
            <family val="2"/>
          </rPr>
          <t>HP: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<sst xmlns="http://schemas.openxmlformats.org/spreadsheetml/2006/main" count="464" uniqueCount="89">
  <si>
    <t>CONTAS A RECEBER</t>
  </si>
  <si>
    <t>CONTAS A PAGAR</t>
  </si>
  <si>
    <t>ANÁLISES</t>
  </si>
  <si>
    <t>DATA DE VENCIMENTO</t>
  </si>
  <si>
    <t>FORNECEDOR</t>
  </si>
  <si>
    <t>DESCRIÇÃO</t>
  </si>
  <si>
    <t>VALOR A PAGAR</t>
  </si>
  <si>
    <t>STATUS</t>
  </si>
  <si>
    <t>DATA DE PAGAMENTO</t>
  </si>
  <si>
    <t>TIPO DE PAGAMENTO</t>
  </si>
  <si>
    <t>CENTRO DE CUSTO</t>
  </si>
  <si>
    <t>CLIENTE</t>
  </si>
  <si>
    <t>Gráfica Rápida</t>
  </si>
  <si>
    <t>Conta de Luz</t>
  </si>
  <si>
    <t>Cartão de Crédito</t>
  </si>
  <si>
    <t>RH</t>
  </si>
  <si>
    <t>Aluguel Imóveis</t>
  </si>
  <si>
    <t>Hospedagem de Site</t>
  </si>
  <si>
    <t>Marketing</t>
  </si>
  <si>
    <t>Consultoria XPTO</t>
  </si>
  <si>
    <t>Material de Escritório</t>
  </si>
  <si>
    <t>Boleto</t>
  </si>
  <si>
    <t>Vendas</t>
  </si>
  <si>
    <t>Limpeza &amp; Cia</t>
  </si>
  <si>
    <t>Assinatura de Software</t>
  </si>
  <si>
    <t>Energia S.A.</t>
  </si>
  <si>
    <t>Seguro Predial</t>
  </si>
  <si>
    <t>Operacional</t>
  </si>
  <si>
    <t>AWS Amazon</t>
  </si>
  <si>
    <t>Manutenção de Ar-condicionado</t>
  </si>
  <si>
    <t>Campanha de Marketing</t>
  </si>
  <si>
    <t>Administrativo</t>
  </si>
  <si>
    <t>Pix</t>
  </si>
  <si>
    <t>Papelaria Silva</t>
  </si>
  <si>
    <t>Serviços de Consultoria</t>
  </si>
  <si>
    <t>Transferência Bancária</t>
  </si>
  <si>
    <t>TI</t>
  </si>
  <si>
    <t>Insumos de Produção</t>
  </si>
  <si>
    <t>Financeiro</t>
  </si>
  <si>
    <t>Seguros Porto</t>
  </si>
  <si>
    <t>Limpeza Mensal</t>
  </si>
  <si>
    <t>Internet Fibra</t>
  </si>
  <si>
    <t>Varejo Global</t>
  </si>
  <si>
    <t>Suporte Premium</t>
  </si>
  <si>
    <t>Construtora Alfa</t>
  </si>
  <si>
    <t>Projeto de Software</t>
  </si>
  <si>
    <t>Supermercado Real</t>
  </si>
  <si>
    <t>Venda de Equipamento</t>
  </si>
  <si>
    <t>João Silva</t>
  </si>
  <si>
    <t>Manutenção de Sistema</t>
  </si>
  <si>
    <t>Academia Fit</t>
  </si>
  <si>
    <t>Venda de Licença</t>
  </si>
  <si>
    <t>Escola Aprender</t>
  </si>
  <si>
    <t>Desenvolvimento de Site</t>
  </si>
  <si>
    <t>Hospital Vida</t>
  </si>
  <si>
    <t>Consultoria Técnica</t>
  </si>
  <si>
    <t>Restaurante Sabor</t>
  </si>
  <si>
    <t>Tech Solutions Ltda</t>
  </si>
  <si>
    <t>Prestação de Serviço Mensal</t>
  </si>
  <si>
    <t>Maria Oliveira</t>
  </si>
  <si>
    <t>Curso de Treinamento</t>
  </si>
  <si>
    <t>Total Geral</t>
  </si>
  <si>
    <t>mai</t>
  </si>
  <si>
    <t>jun</t>
  </si>
  <si>
    <t>jul</t>
  </si>
  <si>
    <t>ago</t>
  </si>
  <si>
    <t>PAGO</t>
  </si>
  <si>
    <t>set</t>
  </si>
  <si>
    <t>PENDENTE</t>
  </si>
  <si>
    <t>ATRASADO</t>
  </si>
  <si>
    <t>VALOR A RECEBER</t>
  </si>
  <si>
    <t>MESES</t>
  </si>
  <si>
    <t>TOTAL DE DESPESAS</t>
  </si>
  <si>
    <t/>
  </si>
  <si>
    <t>DESPESAS</t>
  </si>
  <si>
    <t>RECEITAS</t>
  </si>
  <si>
    <t>TOTAL DE RECEITAS</t>
  </si>
  <si>
    <t>TIPO</t>
  </si>
  <si>
    <t>A RECEBER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</si>
  <si>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</si>
  <si>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</si>
  <si>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</si>
  <si>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</si>
  <si>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</si>
  <si>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</si>
  <si>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</si>
  <si>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</si>
  <si>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PAGAR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</si>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</sst>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thin">
        <color theme="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1" fillId="2" borderId="0" xfId="1" applyFont="1" applyFill="1" applyAlignment="1">
      <alignment horizontal="center" vertical="center"/>
    </xf>
    <xf numFmtId="44" fontId="0" fillId="0" borderId="0" xfId="0" applyNumberFormat="1"/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4" fontId="0" fillId="0" borderId="4" xfId="0" applyNumberFormat="1" applyFont="1" applyFill="1" applyBorder="1" applyAlignment="1">
      <alignment horizontal="center" vertical="center"/>
    </xf>
    <xf numFmtId="0" fontId="0" fillId="0" borderId="2" xfId="0" applyNumberFormat="1" applyFont="1" applyFill="1" applyBorder="1" applyAlignment="1">
      <alignment horizontal="center" vertical="center"/>
    </xf>
    <xf numFmtId="14" fontId="0" fillId="0" borderId="2" xfId="0" applyNumberFormat="1" applyFont="1" applyFill="1" applyBorder="1" applyAlignment="1">
      <alignment horizontal="center" vertical="center"/>
    </xf>
    <xf numFmtId="44" fontId="5" fillId="0" borderId="0" xfId="0" pivotButton="1" applyNumberFormat="1" applyFont="1"/>
    <xf numFmtId="44" fontId="5" fillId="0" borderId="0" xfId="0" applyNumberFormat="1" applyFont="1"/>
    <xf numFmtId="44" fontId="5" fillId="0" borderId="0" xfId="0" applyNumberFormat="1" applyFont="1" applyAlignment="1">
      <alignment horizontal="left"/>
    </xf>
    <xf numFmtId="44" fontId="1" fillId="2" borderId="0" xfId="0" applyNumberFormat="1" applyFont="1" applyFill="1"/>
    <xf numFmtId="44" fontId="4" fillId="3" borderId="6" xfId="0" applyNumberFormat="1" applyFont="1" applyFill="1" applyBorder="1" applyAlignment="1">
      <alignment horizontal="center" vertical="center"/>
    </xf>
    <xf numFmtId="44" fontId="0" fillId="0" borderId="2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pivotButton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2" applyFont="1"/>
    <xf numFmtId="0" fontId="0" fillId="0" borderId="0" xfId="0" applyNumberFormat="1"/>
    <xf numFmtId="0" fontId="8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44" fontId="9" fillId="3" borderId="0" xfId="0" applyNumberFormat="1" applyFont="1" applyFill="1" applyAlignment="1">
      <alignment horizontal="left"/>
    </xf>
    <xf numFmtId="44" fontId="9" fillId="3" borderId="0" xfId="0" applyNumberFormat="1" applyFont="1" applyFill="1"/>
    <xf numFmtId="0" fontId="4" fillId="0" borderId="1" xfId="0" pivotButton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0" fillId="0" borderId="1" xfId="0" pivotButton="1" applyFont="1" applyBorder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7" fillId="0" borderId="0" xfId="0" applyFont="1"/>
    <xf numFmtId="14" fontId="0" fillId="0" borderId="0" xfId="0" applyNumberFormat="1"/>
    <xf numFmtId="0" fontId="4" fillId="4" borderId="7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44" fontId="4" fillId="4" borderId="7" xfId="1" applyFont="1" applyFill="1" applyBorder="1" applyAlignment="1">
      <alignment horizontal="center" vertical="center"/>
    </xf>
    <xf numFmtId="44" fontId="0" fillId="0" borderId="0" xfId="1" applyFont="1"/>
    <xf numFmtId="14" fontId="4" fillId="4" borderId="8" xfId="0" applyNumberFormat="1" applyFont="1" applyFill="1" applyBorder="1" applyAlignment="1">
      <alignment horizontal="center" vertical="center"/>
    </xf>
    <xf numFmtId="14" fontId="4" fillId="4" borderId="7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2" borderId="0" xfId="0" applyFont="1" applyFill="1" applyAlignment="1">
      <alignment vertical="center"/>
    </xf>
    <xf numFmtId="14" fontId="0" fillId="2" borderId="0" xfId="0" applyNumberFormat="1" applyFill="1"/>
    <xf numFmtId="0" fontId="0" fillId="2" borderId="0" xfId="0" applyFill="1"/>
    <xf numFmtId="44" fontId="0" fillId="2" borderId="0" xfId="1" applyFont="1" applyFill="1"/>
    <xf numFmtId="14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44" fontId="0" fillId="6" borderId="0" xfId="1" applyFont="1" applyFill="1" applyAlignment="1">
      <alignment horizontal="center" vertical="center"/>
    </xf>
    <xf numFmtId="44" fontId="5" fillId="0" borderId="0" xfId="0" pivotButton="1" applyNumberFormat="1" applyFont="1" applyAlignment="1">
      <alignment horizontal="center" vertical="center"/>
    </xf>
    <xf numFmtId="44" fontId="5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6"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theme="1"/>
          <bgColor theme="8" tint="0.39994506668294322"/>
        </patternFill>
      </fill>
    </dxf>
    <dxf>
      <fill>
        <patternFill>
          <fgColor theme="1"/>
          <bgColor theme="8" tint="0.39994506668294322"/>
        </patternFill>
      </fill>
    </dxf>
    <dxf>
      <fill>
        <patternFill>
          <fgColor theme="1"/>
          <bgColor theme="4" tint="-0.24994659260841701"/>
        </patternFill>
      </fill>
    </dxf>
    <dxf>
      <font>
        <color theme="1"/>
      </font>
      <fill>
        <patternFill>
          <bgColor theme="4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general" readingOrder="0"/>
    </dxf>
    <dxf>
      <alignment horizontal="general" readingOrder="0"/>
    </dxf>
    <dxf>
      <alignment horizontal="general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vertical="center" readingOrder="0"/>
    </dxf>
    <dxf>
      <font>
        <u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u val="none"/>
      </font>
    </dxf>
    <dxf>
      <font>
        <u val="none"/>
      </font>
    </dxf>
    <dxf>
      <font>
        <b/>
      </font>
    </dxf>
    <dxf>
      <font>
        <b/>
      </font>
    </dxf>
    <dxf>
      <font>
        <b val="0"/>
      </font>
    </dxf>
    <dxf>
      <font>
        <b val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sz val="14"/>
      </font>
    </dxf>
    <dxf>
      <font>
        <sz val="12"/>
      </font>
    </dxf>
    <dxf>
      <font>
        <b val="0"/>
      </font>
    </dxf>
    <dxf>
      <font>
        <b val="0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u val="singleAccounting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ANALISES!$C$4:$C$5</c:f>
              <c:strCache>
                <c:ptCount val="1"/>
                <c:pt idx="0">
                  <c:v>PAGO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ANALISES!$C$6:$C$10</c:f>
              <c:numCache>
                <c:formatCode>"R$"\ #,##0.00</c:formatCode>
                <c:ptCount val="4"/>
                <c:pt idx="0">
                  <c:v>249298</c:v>
                </c:pt>
                <c:pt idx="1">
                  <c:v>1698994</c:v>
                </c:pt>
                <c:pt idx="2">
                  <c:v>1267498</c:v>
                </c:pt>
                <c:pt idx="3">
                  <c:v>2635481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E-45B2-AB66-E90385E04409}"/>
            </c:ext>
          </c:extLst>
        </c:ser>
        <c:ser>
          <c:idx val="1"/>
          <c:order val="1"/>
          <c:tx>
            <c:strRef>
              <c:f>ANALISES!$D$4:$D$5</c:f>
              <c:strCache>
                <c:ptCount val="1"/>
                <c:pt idx="0">
                  <c:v>PENDENTE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ANALISES!$D$6:$D$10</c:f>
              <c:numCache>
                <c:formatCode>"R$"\ #,##0.00</c:formatCode>
                <c:ptCount val="4"/>
                <c:pt idx="2">
                  <c:v>190566</c:v>
                </c:pt>
                <c:pt idx="3">
                  <c:v>306694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EE-45B2-AB66-E90385E04409}"/>
            </c:ext>
          </c:extLst>
        </c:ser>
        <c:ser>
          <c:idx val="2"/>
          <c:order val="2"/>
          <c:tx>
            <c:strRef>
              <c:f>ANALISES!$E$4:$E$5</c:f>
              <c:strCache>
                <c:ptCount val="1"/>
                <c:pt idx="0">
                  <c:v>ATRASADO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ANALISES!$E$6:$E$10</c:f>
              <c:numCache>
                <c:formatCode>"R$"\ #,##0.00</c:formatCode>
                <c:ptCount val="4"/>
                <c:pt idx="0">
                  <c:v>65169</c:v>
                </c:pt>
                <c:pt idx="1">
                  <c:v>419603</c:v>
                </c:pt>
                <c:pt idx="2">
                  <c:v>1461175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EE-45B2-AB66-E90385E04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401808"/>
        <c:axId val="1872402224"/>
      </c:lineChart>
      <c:catAx>
        <c:axId val="187240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2402224"/>
        <c:crosses val="autoZero"/>
        <c:auto val="1"/>
        <c:lblAlgn val="ctr"/>
        <c:lblOffset val="100"/>
        <c:noMultiLvlLbl val="0"/>
      </c:catAx>
      <c:valAx>
        <c:axId val="187240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240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RECEITAS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ANALISES!$I$4:$I$5</c:f>
              <c:strCache>
                <c:ptCount val="1"/>
                <c:pt idx="0">
                  <c:v>PAGO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ANALISES!$I$6:$I$11</c:f>
              <c:numCache>
                <c:formatCode>_("R$"* #,##0.00_);_("R$"* \(#,##0.00\);_("R$"* "-"??_);_(@_)</c:formatCode>
                <c:ptCount val="5"/>
                <c:pt idx="0">
                  <c:v>3677239</c:v>
                </c:pt>
                <c:pt idx="1">
                  <c:v>522722</c:v>
                </c:pt>
                <c:pt idx="2">
                  <c:v>2496358</c:v>
                </c:pt>
                <c:pt idx="3">
                  <c:v>4539538</c:v>
                </c:pt>
                <c:pt idx="4">
                  <c:v>1012034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54-476F-8BF1-AF34765BD719}"/>
            </c:ext>
          </c:extLst>
        </c:ser>
        <c:ser>
          <c:idx val="1"/>
          <c:order val="1"/>
          <c:tx>
            <c:strRef>
              <c:f>ANALISES!$J$4:$J$5</c:f>
              <c:strCache>
                <c:ptCount val="1"/>
                <c:pt idx="0">
                  <c:v>PENDENTE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ANALISES!$J$6:$J$11</c:f>
              <c:numCache>
                <c:formatCode>_("R$"* #,##0.00_);_("R$"* \(#,##0.00\);_("R$"* "-"??_);_(@_)</c:formatCode>
                <c:ptCount val="5"/>
                <c:pt idx="3">
                  <c:v>1337831</c:v>
                </c:pt>
                <c:pt idx="4">
                  <c:v>1293239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54-476F-8BF1-AF34765BD719}"/>
            </c:ext>
          </c:extLst>
        </c:ser>
        <c:ser>
          <c:idx val="2"/>
          <c:order val="2"/>
          <c:tx>
            <c:strRef>
              <c:f>ANALISES!$K$4:$K$5</c:f>
              <c:strCache>
                <c:ptCount val="1"/>
                <c:pt idx="0">
                  <c:v>ATRASADO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ANALISES!$K$6:$K$11</c:f>
              <c:numCache>
                <c:formatCode>_("R$"* #,##0.00_);_("R$"* \(#,##0.00\);_("R$"* "-"??_);_(@_)</c:formatCode>
                <c:ptCount val="5"/>
                <c:pt idx="1">
                  <c:v>1676154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54-476F-8BF1-AF34765BD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632496"/>
        <c:axId val="1809074848"/>
      </c:lineChart>
      <c:catAx>
        <c:axId val="18086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9074848"/>
        <c:crosses val="autoZero"/>
        <c:auto val="1"/>
        <c:lblAlgn val="ctr"/>
        <c:lblOffset val="100"/>
        <c:noMultiLvlLbl val="0"/>
      </c:catAx>
      <c:valAx>
        <c:axId val="18090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863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MAGNITUDE DAS RECEITAS E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A80-455C-973D-3DEFAD2CB8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ANALISES!$B$30:$B$31</c:f>
              <c:strCache>
                <c:ptCount val="2"/>
                <c:pt idx="0">
                  <c:v>DESPESAS</c:v>
                </c:pt>
                <c:pt idx="1">
                  <c:v>RECEITAS</c:v>
                </c:pt>
              </c:strCache>
            </c:strRef>
          </c:cat>
          <c:val>
            <c:numRef>
              <c:f>ANALISES!$C$30:$C$31</c:f>
              <c:numCache>
                <c:formatCode>0%</c:formatCode>
                <c:ptCount val="2"/>
                <c:pt idx="0">
                  <c:v>0.33378727772322064</c:v>
                </c:pt>
                <c:pt idx="1">
                  <c:v>0.6662127222767793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0-455C-973D-3DEFAD2CB8B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  <a:r>
              <a:rPr lang="pt-BR" baseline="0"/>
              <a:t> DAS CONTAS A RECEBER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ANALISES!$I$4:$I$5</c:f>
              <c:strCache>
                <c:ptCount val="1"/>
                <c:pt idx="0">
                  <c:v>PAGO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ANALISES!$I$6:$I$11</c:f>
              <c:numCache>
                <c:formatCode>_("R$"* #,##0.00_);_("R$"* \(#,##0.00\);_("R$"* "-"??_);_(@_)</c:formatCode>
                <c:ptCount val="5"/>
                <c:pt idx="0">
                  <c:v>3677239</c:v>
                </c:pt>
                <c:pt idx="1">
                  <c:v>522722</c:v>
                </c:pt>
                <c:pt idx="2">
                  <c:v>2496358</c:v>
                </c:pt>
                <c:pt idx="3">
                  <c:v>4539538</c:v>
                </c:pt>
                <c:pt idx="4">
                  <c:v>1012034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9-4701-ABA4-3DC5FCA003BA}"/>
            </c:ext>
          </c:extLst>
        </c:ser>
        <c:ser>
          <c:idx val="1"/>
          <c:order val="1"/>
          <c:tx>
            <c:strRef>
              <c:f>ANALISES!$J$4:$J$5</c:f>
              <c:strCache>
                <c:ptCount val="1"/>
                <c:pt idx="0">
                  <c:v>PENDENTE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ANALISES!$J$6:$J$11</c:f>
              <c:numCache>
                <c:formatCode>_("R$"* #,##0.00_);_("R$"* \(#,##0.00\);_("R$"* "-"??_);_(@_)</c:formatCode>
                <c:ptCount val="5"/>
                <c:pt idx="3">
                  <c:v>1337831</c:v>
                </c:pt>
                <c:pt idx="4">
                  <c:v>1293239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9-4701-ABA4-3DC5FCA003BA}"/>
            </c:ext>
          </c:extLst>
        </c:ser>
        <c:ser>
          <c:idx val="2"/>
          <c:order val="2"/>
          <c:tx>
            <c:strRef>
              <c:f>ANALISES!$K$4:$K$5</c:f>
              <c:strCache>
                <c:ptCount val="1"/>
                <c:pt idx="0">
                  <c:v>ATRASADO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ANALISES!$K$6:$K$11</c:f>
              <c:numCache>
                <c:formatCode>_("R$"* #,##0.00_);_("R$"* \(#,##0.00\);_("R$"* "-"??_);_(@_)</c:formatCode>
                <c:ptCount val="5"/>
                <c:pt idx="1">
                  <c:v>1676154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9-4701-ABA4-3DC5FCA00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19343360"/>
        <c:axId val="1919345856"/>
      </c:barChart>
      <c:catAx>
        <c:axId val="191934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5856"/>
        <c:crosses val="autoZero"/>
        <c:auto val="1"/>
        <c:lblAlgn val="ctr"/>
        <c:lblOffset val="100"/>
        <c:noMultiLvlLbl val="0"/>
      </c:catAx>
      <c:valAx>
        <c:axId val="19193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  <a:r>
              <a:rPr lang="pt-BR" baseline="0"/>
              <a:t> DAS CONTAS A PAGAR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ANALISES!$C$4:$C$5</c:f>
              <c:strCache>
                <c:ptCount val="1"/>
                <c:pt idx="0">
                  <c:v>PAGO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ANALISES!$C$6:$C$10</c:f>
              <c:numCache>
                <c:formatCode>"R$"\ #,##0.00</c:formatCode>
                <c:ptCount val="4"/>
                <c:pt idx="0">
                  <c:v>249298</c:v>
                </c:pt>
                <c:pt idx="1">
                  <c:v>1698994</c:v>
                </c:pt>
                <c:pt idx="2">
                  <c:v>1267498</c:v>
                </c:pt>
                <c:pt idx="3">
                  <c:v>2635481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F-4251-9D72-14326BD46D2B}"/>
            </c:ext>
          </c:extLst>
        </c:ser>
        <c:ser>
          <c:idx val="1"/>
          <c:order val="1"/>
          <c:tx>
            <c:strRef>
              <c:f>ANALISES!$D$4:$D$5</c:f>
              <c:strCache>
                <c:ptCount val="1"/>
                <c:pt idx="0">
                  <c:v>PENDENTE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ANALISES!$D$6:$D$10</c:f>
              <c:numCache>
                <c:formatCode>"R$"\ #,##0.00</c:formatCode>
                <c:ptCount val="4"/>
                <c:pt idx="2">
                  <c:v>190566</c:v>
                </c:pt>
                <c:pt idx="3">
                  <c:v>306694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1F-4251-9D72-14326BD46D2B}"/>
            </c:ext>
          </c:extLst>
        </c:ser>
        <c:ser>
          <c:idx val="2"/>
          <c:order val="2"/>
          <c:tx>
            <c:strRef>
              <c:f>ANALISES!$E$4:$E$5</c:f>
              <c:strCache>
                <c:ptCount val="1"/>
                <c:pt idx="0">
                  <c:v>ATRASADO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ANALISES!$E$6:$E$10</c:f>
              <c:numCache>
                <c:formatCode>"R$"\ #,##0.00</c:formatCode>
                <c:ptCount val="4"/>
                <c:pt idx="0">
                  <c:v>65169</c:v>
                </c:pt>
                <c:pt idx="1">
                  <c:v>419603</c:v>
                </c:pt>
                <c:pt idx="2">
                  <c:v>1461175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1F-4251-9D72-14326BD46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832032"/>
        <c:axId val="2030821632"/>
      </c:barChart>
      <c:catAx>
        <c:axId val="203083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0821632"/>
        <c:crosses val="autoZero"/>
        <c:auto val="1"/>
        <c:lblAlgn val="ctr"/>
        <c:lblOffset val="100"/>
        <c:noMultiLvlLbl val="0"/>
      </c:catAx>
      <c:valAx>
        <c:axId val="20308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083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RECEITAS E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ln w="34925" cap="rnd">
            <a:solidFill>
              <a:schemeClr val="accent2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ln w="34925" cap="rnd">
            <a:solidFill>
              <a:schemeClr val="accent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v>A RECEBER</c:v>
          </c:tx>
          <c:spPr>
            <a:ln w="34925" cap="rnd">
              <a:solidFill>
                <a:schemeClr val="accent2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Lit>
              <c:ptCount val="6"/>
              <c:pt idx="0">
                <c:v>&lt;25/05/2026</c:v>
              </c:pt>
              <c:pt idx="1">
                <c:v>mai</c:v>
              </c:pt>
              <c:pt idx="2">
                <c:v>jun</c:v>
              </c:pt>
              <c:pt idx="3">
                <c:v>jul</c:v>
              </c:pt>
              <c:pt idx="4">
                <c:v>ago</c:v>
              </c:pt>
              <c:pt idx="5">
                <c:v>set</c:v>
              </c:pt>
            </c:strLit>
          </c:cat>
          <c:val>
            <c:numLit>
              <c:formatCode>General</c:formatCode>
              <c:ptCount val="6"/>
              <c:pt idx="0">
                <c:v>5278461</c:v>
              </c:pt>
              <c:pt idx="1">
                <c:v>3677239</c:v>
              </c:pt>
              <c:pt idx="2">
                <c:v>522722</c:v>
              </c:pt>
              <c:pt idx="3">
                <c:v>5707617</c:v>
              </c:pt>
              <c:pt idx="4">
                <c:v>2328047</c:v>
              </c:pt>
              <c:pt idx="5">
                <c:v>12266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C319-4407-AE3E-19881BFB63AD}"/>
            </c:ext>
          </c:extLst>
        </c:ser>
        <c:ser>
          <c:idx val="1"/>
          <c:order val="1"/>
          <c:tx>
            <c:v>PAGAR</c:v>
          </c:tx>
          <c:spPr>
            <a:ln w="34925" cap="rnd">
              <a:solidFill>
                <a:schemeClr val="accent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Lit>
              <c:ptCount val="6"/>
              <c:pt idx="0">
                <c:v>&lt;25/05/2026</c:v>
              </c:pt>
              <c:pt idx="1">
                <c:v>mai</c:v>
              </c:pt>
              <c:pt idx="2">
                <c:v>jun</c:v>
              </c:pt>
              <c:pt idx="3">
                <c:v>jul</c:v>
              </c:pt>
              <c:pt idx="4">
                <c:v>ago</c:v>
              </c:pt>
              <c:pt idx="5">
                <c:v>set</c:v>
              </c:pt>
            </c:strLit>
          </c:cat>
          <c:val>
            <c:numLit>
              <c:formatCode>General</c:formatCode>
              <c:ptCount val="6"/>
              <c:pt idx="0">
                <c:v>2443207</c:v>
              </c:pt>
              <c:pt idx="1">
                <c:v>457593</c:v>
              </c:pt>
              <c:pt idx="2">
                <c:v>723692</c:v>
              </c:pt>
              <c:pt idx="3">
                <c:v>2391714</c:v>
              </c:pt>
              <c:pt idx="4">
                <c:v>2278272</c:v>
              </c:pt>
              <c:pt idx="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C319-4407-AE3E-19881BFB6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346272"/>
        <c:axId val="1919333792"/>
      </c:lineChart>
      <c:catAx>
        <c:axId val="191934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33792"/>
        <c:crosses val="autoZero"/>
        <c:auto val="1"/>
        <c:lblAlgn val="ctr"/>
        <c:lblOffset val="100"/>
        <c:noMultiLvlLbl val="0"/>
      </c:catAx>
      <c:valAx>
        <c:axId val="191933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CONTAS A PAGAR'!A1"/><Relationship Id="rId2" Type="http://schemas.openxmlformats.org/officeDocument/2006/relationships/hyperlink" Target="#'CONTAS A RECEBER'!A1"/><Relationship Id="rId1" Type="http://schemas.openxmlformats.org/officeDocument/2006/relationships/hyperlink" Target="#ANALIS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hyperlink" Target="#ANALISES!A1"/><Relationship Id="rId7" Type="http://schemas.openxmlformats.org/officeDocument/2006/relationships/chart" Target="../charts/chart4.xml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807893</xdr:colOff>
      <xdr:row>0</xdr:row>
      <xdr:rowOff>45893</xdr:rowOff>
    </xdr:from>
    <xdr:to>
      <xdr:col>5</xdr:col>
      <xdr:colOff>232930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1"/>
        </xdr:cNvPr>
        <xdr:cNvSpPr/>
      </xdr:nvSpPr>
      <xdr:spPr>
        <a:xfrm>
          <a:off x="7672821" y="45893"/>
          <a:ext cx="1565564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  <xdr:twoCellAnchor editAs="absolute">
    <xdr:from>
      <xdr:col>3</xdr:col>
      <xdr:colOff>443968</xdr:colOff>
      <xdr:row>0</xdr:row>
      <xdr:rowOff>51148</xdr:rowOff>
    </xdr:from>
    <xdr:to>
      <xdr:col>4</xdr:col>
      <xdr:colOff>336595</xdr:colOff>
      <xdr:row>0</xdr:row>
      <xdr:rowOff>555973</xdr:rowOff>
    </xdr:to>
    <xdr:sp macro="" textlink="">
      <xdr:nvSpPr>
        <xdr:cNvPr id="15" name="Retângulo Arredondado 14">
          <a:hlinkClick xmlns:r="http://schemas.openxmlformats.org/officeDocument/2006/relationships" r:id="rId2"/>
        </xdr:cNvPr>
        <xdr:cNvSpPr/>
      </xdr:nvSpPr>
      <xdr:spPr>
        <a:xfrm>
          <a:off x="5607175" y="51148"/>
          <a:ext cx="1548006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2</xdr:col>
      <xdr:colOff>301785</xdr:colOff>
      <xdr:row>0</xdr:row>
      <xdr:rowOff>38667</xdr:rowOff>
    </xdr:from>
    <xdr:to>
      <xdr:col>2</xdr:col>
      <xdr:colOff>1856958</xdr:colOff>
      <xdr:row>0</xdr:row>
      <xdr:rowOff>543492</xdr:rowOff>
    </xdr:to>
    <xdr:sp macro="" textlink="">
      <xdr:nvSpPr>
        <xdr:cNvPr id="16" name="Retângulo Arredondado 15">
          <a:hlinkClick xmlns:r="http://schemas.openxmlformats.org/officeDocument/2006/relationships" r:id="rId3"/>
        </xdr:cNvPr>
        <xdr:cNvSpPr/>
      </xdr:nvSpPr>
      <xdr:spPr>
        <a:xfrm>
          <a:off x="3586268" y="38667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accent5">
                  <a:lumMod val="50000"/>
                </a:schemeClr>
              </a:solidFill>
            </a:rPr>
            <a:t>CONTAS A PAGAR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712644</xdr:colOff>
      <xdr:row>0</xdr:row>
      <xdr:rowOff>47625</xdr:rowOff>
    </xdr:from>
    <xdr:to>
      <xdr:col>3</xdr:col>
      <xdr:colOff>397454</xdr:colOff>
      <xdr:row>0</xdr:row>
      <xdr:rowOff>552450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4003099" y="47625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3</xdr:col>
      <xdr:colOff>811358</xdr:colOff>
      <xdr:row>0</xdr:row>
      <xdr:rowOff>49356</xdr:rowOff>
    </xdr:from>
    <xdr:to>
      <xdr:col>4</xdr:col>
      <xdr:colOff>703985</xdr:colOff>
      <xdr:row>0</xdr:row>
      <xdr:rowOff>554181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972176" y="49356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solidFill>
                <a:schemeClr val="accent5">
                  <a:lumMod val="50000"/>
                </a:schemeClr>
              </a:solidFill>
            </a:rPr>
            <a:t>CONTAS A RECEBER</a:t>
          </a:r>
        </a:p>
      </xdr:txBody>
    </xdr:sp>
    <xdr:clientData/>
  </xdr:twoCellAnchor>
  <xdr:twoCellAnchor editAs="absolute">
    <xdr:from>
      <xdr:col>4</xdr:col>
      <xdr:colOff>1206211</xdr:colOff>
      <xdr:row>0</xdr:row>
      <xdr:rowOff>45893</xdr:rowOff>
    </xdr:from>
    <xdr:to>
      <xdr:col>5</xdr:col>
      <xdr:colOff>631248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8029575" y="4589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590402</xdr:colOff>
      <xdr:row>0</xdr:row>
      <xdr:rowOff>64943</xdr:rowOff>
    </xdr:from>
    <xdr:to>
      <xdr:col>5</xdr:col>
      <xdr:colOff>25631</xdr:colOff>
      <xdr:row>0</xdr:row>
      <xdr:rowOff>569768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3552826" y="6494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5</xdr:col>
      <xdr:colOff>482630</xdr:colOff>
      <xdr:row>0</xdr:row>
      <xdr:rowOff>49357</xdr:rowOff>
    </xdr:from>
    <xdr:to>
      <xdr:col>6</xdr:col>
      <xdr:colOff>460730</xdr:colOff>
      <xdr:row>0</xdr:row>
      <xdr:rowOff>554182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556540" y="49357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6</xdr:col>
      <xdr:colOff>987052</xdr:colOff>
      <xdr:row>0</xdr:row>
      <xdr:rowOff>45893</xdr:rowOff>
    </xdr:from>
    <xdr:to>
      <xdr:col>7</xdr:col>
      <xdr:colOff>1266131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7631257" y="45893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accent5">
                  <a:lumMod val="50000"/>
                </a:schemeClr>
              </a:solidFill>
            </a:rPr>
            <a:t>ANÁLISES</a:t>
          </a:r>
        </a:p>
      </xdr:txBody>
    </xdr:sp>
    <xdr:clientData/>
  </xdr:twoCellAnchor>
  <xdr:twoCellAnchor>
    <xdr:from>
      <xdr:col>1</xdr:col>
      <xdr:colOff>0</xdr:colOff>
      <xdr:row>12</xdr:row>
      <xdr:rowOff>17928</xdr:rowOff>
    </xdr:from>
    <xdr:to>
      <xdr:col>6</xdr:col>
      <xdr:colOff>11206</xdr:colOff>
      <xdr:row>26</xdr:row>
      <xdr:rowOff>11205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11206</xdr:colOff>
      <xdr:row>11</xdr:row>
      <xdr:rowOff>186016</xdr:rowOff>
    </xdr:from>
    <xdr:to>
      <xdr:col>12</xdr:col>
      <xdr:colOff>-1</xdr:colOff>
      <xdr:row>26</xdr:row>
      <xdr:rowOff>11205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45</xdr:row>
      <xdr:rowOff>17930</xdr:rowOff>
    </xdr:from>
    <xdr:to>
      <xdr:col>6</xdr:col>
      <xdr:colOff>22413</xdr:colOff>
      <xdr:row>59</xdr:row>
      <xdr:rowOff>22412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1288677</xdr:colOff>
      <xdr:row>27</xdr:row>
      <xdr:rowOff>17930</xdr:rowOff>
    </xdr:from>
    <xdr:to>
      <xdr:col>12</xdr:col>
      <xdr:colOff>0</xdr:colOff>
      <xdr:row>40</xdr:row>
      <xdr:rowOff>179294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605116</xdr:colOff>
      <xdr:row>26</xdr:row>
      <xdr:rowOff>197224</xdr:rowOff>
    </xdr:from>
    <xdr:to>
      <xdr:col>6</xdr:col>
      <xdr:colOff>56029</xdr:colOff>
      <xdr:row>41</xdr:row>
      <xdr:rowOff>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22412</xdr:colOff>
      <xdr:row>44</xdr:row>
      <xdr:rowOff>186018</xdr:rowOff>
    </xdr:from>
    <xdr:to>
      <xdr:col>12</xdr:col>
      <xdr:colOff>33618</xdr:colOff>
      <xdr:row>59</xdr:row>
      <xdr:rowOff>67235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23.912276504627" createdVersion="6" refreshedVersion="6" minRefreshableVersion="3" recordCount="27">
  <cacheSource type="worksheet">
    <worksheetSource name="Tabela1"/>
  </cacheSource>
  <cacheFields count="9">
    <cacheField name="DATA DE VENCIMENTO" numFmtId="14">
      <sharedItems containsSemiMixedTypes="0" containsNonDate="0" containsDate="1" containsString="0" minDate="2026-05-29T00:00:00" maxDate="2026-08-31T00:00:00" count="23">
        <d v="2026-07-20T00:00:00"/>
        <d v="2026-07-17T00:00:00"/>
        <d v="2026-07-05T00:00:00"/>
        <d v="2026-07-14T00:00:00"/>
        <d v="2026-05-29T00:00:00"/>
        <d v="2026-07-31T00:00:00"/>
        <d v="2026-06-09T00:00:00"/>
        <d v="2026-08-06T00:00:00"/>
        <d v="2026-08-27T00:00:00"/>
        <d v="2026-05-31T00:00:00"/>
        <d v="2026-07-09T00:00:00"/>
        <d v="2026-06-19T00:00:00"/>
        <d v="2026-07-08T00:00:00"/>
        <d v="2026-06-29T00:00:00"/>
        <d v="2026-07-29T00:00:00"/>
        <d v="2026-06-05T00:00:00"/>
        <d v="2026-08-30T00:00:00"/>
        <d v="2026-08-14T00:00:00"/>
        <d v="2026-08-26T00:00:00"/>
        <d v="2026-08-18T00:00:00"/>
        <d v="2026-06-26T00:00:00"/>
        <d v="2026-08-17T00:00:00"/>
        <d v="2026-06-10T00:00:00"/>
      </sharedItems>
      <fieldGroup par="8" base="0">
        <rangePr groupBy="days" startDate="2026-05-29T00:00:00" endDate="2026-08-31T00:00:00"/>
        <groupItems count="368">
          <s v="&lt;29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31/08/2026"/>
        </groupItems>
      </fieldGroup>
    </cacheField>
    <cacheField name="FORNECEDOR" numFmtId="0">
      <sharedItems containsBlank="1"/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35608" maxValue="498749"/>
    </cacheField>
    <cacheField name="STATUS" numFmtId="0">
      <sharedItems count="3">
        <s v="PENDENTE"/>
        <s v="PAGO"/>
        <s v="ATRASADO"/>
      </sharedItems>
    </cacheField>
    <cacheField name="DATA DE PAGAMENTO" numFmtId="14">
      <sharedItems containsNonDate="0" containsDate="1" containsString="0" containsBlank="1" minDate="2026-05-31T00:00:00" maxDate="2026-08-28T00:00:00"/>
    </cacheField>
    <cacheField name="TIPO DE PAGAMENTO" numFmtId="0">
      <sharedItems containsBlank="1"/>
    </cacheField>
    <cacheField name="CENTRO DE CUSTO" numFmtId="0">
      <sharedItems containsBlank="1"/>
    </cacheField>
    <cacheField name="Meses" numFmtId="0" databaseField="0">
      <fieldGroup base="0">
        <rangePr groupBy="months" startDate="2026-05-29T00:00:00" endDate="2026-08-31T00:00:00"/>
        <groupItems count="14">
          <s v="&lt;29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1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23.91233298611" createdVersion="6" refreshedVersion="6" minRefreshableVersion="3" recordCount="25">
  <cacheSource type="worksheet">
    <worksheetSource name="Tabela4"/>
  </cacheSource>
  <cacheFields count="9">
    <cacheField name="DATA DE VENCIMENTO" numFmtId="14">
      <sharedItems containsSemiMixedTypes="0" containsNonDate="0" containsDate="1" containsString="0" minDate="2026-05-25T00:00:00" maxDate="2026-09-17T00:00:00" count="24">
        <d v="2026-07-20T00:00:00"/>
        <d v="2026-09-16T00:00:00"/>
        <d v="2026-08-23T00:00:00"/>
        <d v="2026-05-27T00:00:00"/>
        <d v="2026-09-08T00:00:00"/>
        <d v="2026-08-27T00:00:00"/>
        <d v="2026-05-25T00:00:00"/>
        <d v="2026-07-25T00:00:00"/>
        <d v="2026-09-13T00:00:00"/>
        <d v="2026-09-15T00:00:00"/>
        <d v="2026-09-02T00:00:00"/>
        <d v="2026-06-04T00:00:00"/>
        <d v="2026-08-13T00:00:00"/>
        <d v="2026-07-16T00:00:00"/>
        <d v="2026-08-20T00:00:00"/>
        <d v="2026-06-06T00:00:00"/>
        <d v="2026-07-05T00:00:00"/>
        <d v="2026-05-28T00:00:00"/>
        <d v="2026-09-10T00:00:00"/>
        <d v="2026-08-29T00:00:00"/>
        <d v="2026-07-29T00:00:00"/>
        <d v="2026-08-14T00:00:00"/>
        <d v="2026-06-12T00:00:00"/>
        <d v="2026-06-03T00:00:00"/>
      </sharedItems>
      <fieldGroup par="8" base="0">
        <rangePr groupBy="days" startDate="2026-05-25T00:00:00" endDate="2026-09-17T00:00:00"/>
        <groupItems count="368">
          <s v="&lt;25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09/2026"/>
        </groupItems>
      </fieldGroup>
    </cacheField>
    <cacheField name="CLIENTE" numFmtId="0">
      <sharedItems containsBlank="1" count="11">
        <m/>
        <s v="Varejo Global"/>
        <s v="Construtora Alfa"/>
        <s v="Supermercado Real"/>
        <s v="João Silva"/>
        <s v="Academia Fit"/>
        <s v="Escola Aprender"/>
        <s v="Hospital Vida"/>
        <s v="Restaurante Sabor"/>
        <s v="Tech Solutions Ltda"/>
        <s v="Maria Oliveira"/>
      </sharedItems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12266" maxValue="1468989"/>
    </cacheField>
    <cacheField name="STATUS" numFmtId="0">
      <sharedItems count="3">
        <s v="PAGO"/>
        <s v="PENDENTE"/>
        <s v="ATRASADO"/>
      </sharedItems>
    </cacheField>
    <cacheField name="DATA DE PAGAMENTO" numFmtId="14">
      <sharedItems containsNonDate="0" containsDate="1" containsString="0" containsBlank="1" minDate="2026-05-25T00:00:00" maxDate="2026-09-17T00:00:00"/>
    </cacheField>
    <cacheField name="TIPO DE PAGAMENTO" numFmtId="0">
      <sharedItems containsBlank="1"/>
    </cacheField>
    <cacheField name="CENTRO DE CUSTO" numFmtId="0">
      <sharedItems containsBlank="1" count="8">
        <m/>
        <s v="Financeiro"/>
        <s v="TI"/>
        <s v="Administrativo"/>
        <s v="Marketing"/>
        <s v="Vendas"/>
        <s v="Operacional"/>
        <s v="RH"/>
      </sharedItems>
    </cacheField>
    <cacheField name="Meses" numFmtId="0" databaseField="0">
      <fieldGroup base="0">
        <rangePr groupBy="months" startDate="2026-05-25T00:00:00" endDate="2026-09-17T00:00:00"/>
        <groupItems count="14">
          <s v="&lt;25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">
  <r>
    <x v="0"/>
    <m/>
    <m/>
    <m/>
    <x v="0"/>
    <m/>
    <m/>
    <m/>
  </r>
  <r>
    <x v="1"/>
    <s v="Gráfica Rápida"/>
    <s v="Conta de Luz"/>
    <n v="217311"/>
    <x v="1"/>
    <d v="2026-07-13T00:00:00"/>
    <s v="Cartão de Crédito"/>
    <s v="RH"/>
  </r>
  <r>
    <x v="2"/>
    <s v="Aluguel Imóveis"/>
    <s v="Hospedagem de Site"/>
    <n v="452135"/>
    <x v="1"/>
    <d v="2026-07-20T00:00:00"/>
    <m/>
    <s v="Marketing"/>
  </r>
  <r>
    <x v="3"/>
    <s v="Consultoria XPTO"/>
    <s v="Material de Escritório"/>
    <n v="155331"/>
    <x v="1"/>
    <d v="2026-07-15T00:00:00"/>
    <s v="Boleto"/>
    <s v="Vendas"/>
  </r>
  <r>
    <x v="4"/>
    <s v="Limpeza &amp; Cia"/>
    <s v="Assinatura de Software"/>
    <n v="65169"/>
    <x v="2"/>
    <m/>
    <m/>
    <s v="RH"/>
  </r>
  <r>
    <x v="5"/>
    <s v="Energia S.A."/>
    <s v="Seguro Predial"/>
    <n v="190566"/>
    <x v="0"/>
    <m/>
    <m/>
    <s v="Operacional"/>
  </r>
  <r>
    <x v="6"/>
    <s v="AWS Amazon"/>
    <s v="Manutenção de Ar-condicionado"/>
    <n v="269948"/>
    <x v="1"/>
    <d v="2026-07-20T00:00:00"/>
    <m/>
    <s v="RH"/>
  </r>
  <r>
    <x v="7"/>
    <s v="Limpeza &amp; Cia"/>
    <s v="Campanha de Marketing"/>
    <n v="498749"/>
    <x v="1"/>
    <d v="2026-08-01T00:00:00"/>
    <s v="Boleto"/>
    <s v="Administrativo"/>
  </r>
  <r>
    <x v="8"/>
    <s v="AWS Amazon"/>
    <s v="Seguro Predial"/>
    <n v="316793"/>
    <x v="1"/>
    <d v="2026-08-27T00:00:00"/>
    <s v="Pix"/>
    <s v="Marketing"/>
  </r>
  <r>
    <x v="9"/>
    <s v="Papelaria Silva"/>
    <s v="Conta de Luz"/>
    <n v="249298"/>
    <x v="1"/>
    <d v="2026-06-01T00:00:00"/>
    <s v="Cartão de Crédito"/>
    <s v="RH"/>
  </r>
  <r>
    <x v="10"/>
    <s v="Aluguel Imóveis"/>
    <s v="Serviços de Consultoria"/>
    <n v="331687"/>
    <x v="2"/>
    <m/>
    <s v="Transferência Bancária"/>
    <s v="TI"/>
  </r>
  <r>
    <x v="11"/>
    <s v="Aluguel Imóveis"/>
    <s v="Conta de Luz"/>
    <n v="128638"/>
    <x v="2"/>
    <m/>
    <m/>
    <s v="Vendas"/>
  </r>
  <r>
    <x v="1"/>
    <s v="Aluguel Imóveis"/>
    <s v="Assinatura de Software"/>
    <n v="256332"/>
    <x v="2"/>
    <m/>
    <m/>
    <s v="TI"/>
  </r>
  <r>
    <x v="12"/>
    <s v="Limpeza &amp; Cia"/>
    <s v="Insumos de Produção"/>
    <n v="407113"/>
    <x v="1"/>
    <d v="2026-07-03T00:00:00"/>
    <s v="Pix"/>
    <s v="TI"/>
  </r>
  <r>
    <x v="13"/>
    <s v="Papelaria Silva"/>
    <s v="Insumos de Produção"/>
    <n v="474394"/>
    <x v="1"/>
    <d v="2026-06-26T00:00:00"/>
    <s v="Pix"/>
    <s v="Marketing"/>
  </r>
  <r>
    <x v="14"/>
    <s v="Energia S.A."/>
    <s v="Material de Escritório"/>
    <n v="35608"/>
    <x v="1"/>
    <d v="2026-07-29T00:00:00"/>
    <s v="Transferência Bancária"/>
    <s v="Financeiro"/>
  </r>
  <r>
    <x v="15"/>
    <s v="Energia S.A."/>
    <s v="Seguro Predial"/>
    <n v="457593"/>
    <x v="1"/>
    <d v="2026-05-31T00:00:00"/>
    <s v="Cartão de Crédito"/>
    <s v="RH"/>
  </r>
  <r>
    <x v="16"/>
    <s v="Seguros Porto"/>
    <s v="Limpeza Mensal"/>
    <n v="306694"/>
    <x v="0"/>
    <m/>
    <m/>
    <s v="RH"/>
  </r>
  <r>
    <x v="12"/>
    <s v="Gráfica Rápida"/>
    <s v="Material de Escritório"/>
    <n v="479918"/>
    <x v="2"/>
    <m/>
    <m/>
    <s v="TI"/>
  </r>
  <r>
    <x v="17"/>
    <s v="Papelaria Silva"/>
    <s v="Manutenção de Ar-condicionado"/>
    <n v="357209"/>
    <x v="1"/>
    <d v="2026-07-20T00:00:00"/>
    <m/>
    <s v="Vendas"/>
  </r>
  <r>
    <x v="18"/>
    <s v="Aluguel Imóveis"/>
    <s v="Material de Escritório"/>
    <n v="227667"/>
    <x v="1"/>
    <d v="2026-08-24T00:00:00"/>
    <s v="Pix"/>
    <s v="Financeiro"/>
  </r>
  <r>
    <x v="19"/>
    <s v="Gráfica Rápida"/>
    <s v="Material de Escritório"/>
    <n v="276131"/>
    <x v="1"/>
    <d v="2026-08-20T00:00:00"/>
    <s v="Cartão de Crédito"/>
    <s v="Marketing"/>
  </r>
  <r>
    <x v="17"/>
    <s v="Aluguel Imóveis"/>
    <s v="Limpeza Mensal"/>
    <n v="486368"/>
    <x v="1"/>
    <d v="2026-08-10T00:00:00"/>
    <s v="Boleto"/>
    <s v="RH"/>
  </r>
  <r>
    <x v="20"/>
    <s v="Internet Fibra"/>
    <s v="Hospedagem de Site"/>
    <n v="497059"/>
    <x v="1"/>
    <d v="2026-07-20T00:00:00"/>
    <m/>
    <s v="Operacional"/>
  </r>
  <r>
    <x v="21"/>
    <s v="Internet Fibra"/>
    <s v="Manutenção de Ar-condicionado"/>
    <n v="472564"/>
    <x v="1"/>
    <d v="2026-08-16T00:00:00"/>
    <s v="Cartão de Crédito"/>
    <s v="Financeiro"/>
  </r>
  <r>
    <x v="22"/>
    <s v="Consultoria XPTO"/>
    <s v="Serviços de Consultoria"/>
    <n v="290965"/>
    <x v="2"/>
    <m/>
    <m/>
    <s v="Administrativo"/>
  </r>
  <r>
    <x v="1"/>
    <s v="Papelaria Silva"/>
    <s v="Insumos de Produção"/>
    <n v="393238"/>
    <x v="2"/>
    <m/>
    <m/>
    <s v="R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">
  <r>
    <x v="0"/>
    <x v="0"/>
    <m/>
    <m/>
    <x v="0"/>
    <d v="2026-07-20T00:00:00"/>
    <m/>
    <x v="0"/>
  </r>
  <r>
    <x v="1"/>
    <x v="1"/>
    <s v="Suporte Premium"/>
    <n v="99157"/>
    <x v="0"/>
    <d v="2026-07-20T00:00:00"/>
    <m/>
    <x v="1"/>
  </r>
  <r>
    <x v="2"/>
    <x v="2"/>
    <s v="Projeto de Software"/>
    <n v="1137025"/>
    <x v="0"/>
    <d v="2026-08-21T00:00:00"/>
    <s v="Boleto"/>
    <x v="2"/>
  </r>
  <r>
    <x v="3"/>
    <x v="3"/>
    <s v="Venda de Equipamento"/>
    <n v="1001343"/>
    <x v="0"/>
    <d v="2026-05-25T00:00:00"/>
    <s v="Pix"/>
    <x v="1"/>
  </r>
  <r>
    <x v="4"/>
    <x v="4"/>
    <s v="Manutenção de Sistema"/>
    <n v="374734"/>
    <x v="0"/>
    <d v="2026-07-20T00:00:00"/>
    <m/>
    <x v="3"/>
  </r>
  <r>
    <x v="5"/>
    <x v="5"/>
    <s v="Venda de Licença"/>
    <n v="971237"/>
    <x v="0"/>
    <d v="2026-08-23T00:00:00"/>
    <s v="Cartão de Crédito"/>
    <x v="3"/>
  </r>
  <r>
    <x v="6"/>
    <x v="6"/>
    <s v="Desenvolvimento de Site"/>
    <n v="1282241"/>
    <x v="0"/>
    <d v="2026-05-27T00:00:00"/>
    <s v="Transferência Bancária"/>
    <x v="1"/>
  </r>
  <r>
    <x v="7"/>
    <x v="3"/>
    <s v="Projeto de Software"/>
    <n v="278593"/>
    <x v="0"/>
    <d v="2026-07-20T00:00:00"/>
    <m/>
    <x v="4"/>
  </r>
  <r>
    <x v="8"/>
    <x v="3"/>
    <s v="Venda de Licença"/>
    <n v="1293239"/>
    <x v="1"/>
    <m/>
    <s v="Cartão de Crédito"/>
    <x v="5"/>
  </r>
  <r>
    <x v="9"/>
    <x v="7"/>
    <s v="Consultoria Técnica"/>
    <n v="12266"/>
    <x v="0"/>
    <d v="2026-09-16T00:00:00"/>
    <s v="Boleto"/>
    <x v="6"/>
  </r>
  <r>
    <x v="10"/>
    <x v="6"/>
    <s v="Manutenção de Sistema"/>
    <n v="147901"/>
    <x v="0"/>
    <d v="2026-08-29T00:00:00"/>
    <s v="Cartão de Crédito"/>
    <x v="3"/>
  </r>
  <r>
    <x v="11"/>
    <x v="8"/>
    <s v="Manutenção de Sistema"/>
    <n v="561159"/>
    <x v="2"/>
    <m/>
    <m/>
    <x v="7"/>
  </r>
  <r>
    <x v="12"/>
    <x v="9"/>
    <s v="Prestação de Serviço Mensal"/>
    <n v="71884"/>
    <x v="0"/>
    <d v="2026-08-15T00:00:00"/>
    <s v="Boleto"/>
    <x v="1"/>
  </r>
  <r>
    <x v="0"/>
    <x v="9"/>
    <s v="Suporte Premium"/>
    <n v="44260"/>
    <x v="0"/>
    <d v="2026-07-18T00:00:00"/>
    <s v="Transferência Bancária"/>
    <x v="6"/>
  </r>
  <r>
    <x v="13"/>
    <x v="7"/>
    <s v="Desenvolvimento de Site"/>
    <n v="607481"/>
    <x v="0"/>
    <d v="2026-07-17T00:00:00"/>
    <s v="Transferência Bancária"/>
    <x v="3"/>
  </r>
  <r>
    <x v="14"/>
    <x v="10"/>
    <s v="Prestação de Serviço Mensal"/>
    <n v="1337831"/>
    <x v="1"/>
    <m/>
    <m/>
    <x v="2"/>
  </r>
  <r>
    <x v="15"/>
    <x v="2"/>
    <s v="Curso de Treinamento"/>
    <n v="522722"/>
    <x v="0"/>
    <d v="2026-06-08T00:00:00"/>
    <s v="Pix"/>
    <x v="1"/>
  </r>
  <r>
    <x v="16"/>
    <x v="6"/>
    <s v="Venda de Equipamento"/>
    <n v="922892"/>
    <x v="0"/>
    <d v="2026-07-04T00:00:00"/>
    <s v="Transferência Bancária"/>
    <x v="6"/>
  </r>
  <r>
    <x v="17"/>
    <x v="3"/>
    <s v="Suporte Premium"/>
    <n v="1393655"/>
    <x v="0"/>
    <d v="2026-05-30T00:00:00"/>
    <s v="Boleto"/>
    <x v="7"/>
  </r>
  <r>
    <x v="18"/>
    <x v="1"/>
    <s v="Venda de Equipamento"/>
    <n v="377976"/>
    <x v="0"/>
    <d v="2026-07-20T00:00:00"/>
    <m/>
    <x v="2"/>
  </r>
  <r>
    <x v="19"/>
    <x v="2"/>
    <s v="Projeto de Software"/>
    <n v="1468989"/>
    <x v="0"/>
    <d v="2026-07-20T00:00:00"/>
    <m/>
    <x v="1"/>
  </r>
  <r>
    <x v="20"/>
    <x v="6"/>
    <s v="Venda de Equipamento"/>
    <n v="643132"/>
    <x v="0"/>
    <d v="2026-07-28T00:00:00"/>
    <s v="Transferência Bancária"/>
    <x v="2"/>
  </r>
  <r>
    <x v="21"/>
    <x v="3"/>
    <s v="Venda de Equipamento"/>
    <n v="890403"/>
    <x v="0"/>
    <d v="2026-07-20T00:00:00"/>
    <m/>
    <x v="7"/>
  </r>
  <r>
    <x v="22"/>
    <x v="9"/>
    <s v="Prestação de Serviço Mensal"/>
    <n v="159442"/>
    <x v="2"/>
    <m/>
    <m/>
    <x v="4"/>
  </r>
  <r>
    <x v="23"/>
    <x v="8"/>
    <s v="Prestação de Serviço Mensal"/>
    <n v="955553"/>
    <x v="2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 rowHeaderCaption="MESES" colHeaderCaption="">
  <location ref="H4:L11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6"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DE RECEITAS" fld="3" baseField="8" baseItem="5" numFmtId="44"/>
  </dataFields>
  <formats count="55">
    <format dxfId="147">
      <pivotArea type="all" dataOnly="0" outline="0" fieldPosition="0"/>
    </format>
    <format dxfId="146">
      <pivotArea outline="0" collapsedLevelsAreSubtotals="1" fieldPosition="0"/>
    </format>
    <format dxfId="145">
      <pivotArea type="origin" dataOnly="0" labelOnly="1" outline="0" fieldPosition="0"/>
    </format>
    <format dxfId="144">
      <pivotArea field="4" type="button" dataOnly="0" labelOnly="1" outline="0" axis="axisCol" fieldPosition="0"/>
    </format>
    <format dxfId="143">
      <pivotArea type="topRight" dataOnly="0" labelOnly="1" outline="0" fieldPosition="0"/>
    </format>
    <format dxfId="142">
      <pivotArea field="8" type="button" dataOnly="0" labelOnly="1" outline="0" axis="axisRow" fieldPosition="0"/>
    </format>
    <format dxfId="141">
      <pivotArea dataOnly="0" labelOnly="1" fieldPosition="0">
        <references count="1">
          <reference field="8" count="5">
            <x v="5"/>
            <x v="6"/>
            <x v="7"/>
            <x v="8"/>
            <x v="9"/>
          </reference>
        </references>
      </pivotArea>
    </format>
    <format dxfId="140">
      <pivotArea dataOnly="0" labelOnly="1" grandRow="1" outline="0" fieldPosition="0"/>
    </format>
    <format dxfId="139">
      <pivotArea dataOnly="0" labelOnly="1" fieldPosition="0">
        <references count="1">
          <reference field="4" count="0"/>
        </references>
      </pivotArea>
    </format>
    <format dxfId="138">
      <pivotArea dataOnly="0" labelOnly="1" grandCol="1" outline="0" fieldPosition="0"/>
    </format>
    <format dxfId="137">
      <pivotArea type="all" dataOnly="0" outline="0" fieldPosition="0"/>
    </format>
    <format dxfId="96">
      <pivotArea type="all" dataOnly="0" outline="0" fieldPosition="0"/>
    </format>
    <format dxfId="89">
      <pivotArea dataOnly="0" grandRow="1" axis="axisRow" fieldPosition="0"/>
    </format>
    <format dxfId="88">
      <pivotArea dataOnly="0" grandRow="1" axis="axisRow" fieldPosition="0"/>
    </format>
    <format dxfId="87">
      <pivotArea dataOnly="0" grandRow="1" axis="axisRow" fieldPosition="0"/>
    </format>
    <format dxfId="86">
      <pivotArea grandRow="1" outline="0" collapsedLevelsAreSubtotals="1" fieldPosition="0"/>
    </format>
    <format dxfId="85">
      <pivotArea dataOnly="0" labelOnly="1" grandRow="1" outline="0" fieldPosition="0"/>
    </format>
    <format dxfId="82">
      <pivotArea grandRow="1" outline="0" collapsedLevelsAreSubtotals="1" fieldPosition="0"/>
    </format>
    <format dxfId="81">
      <pivotArea dataOnly="0" labelOnly="1" grandRow="1" outline="0" fieldPosition="0"/>
    </format>
    <format dxfId="80">
      <pivotArea grandRow="1" outline="0" collapsedLevelsAreSubtotals="1" fieldPosition="0"/>
    </format>
    <format dxfId="79">
      <pivotArea dataOnly="0" labelOnly="1" grandRow="1" outline="0" fieldPosition="0"/>
    </format>
    <format dxfId="78">
      <pivotArea grandRow="1" outline="0" collapsedLevelsAreSubtotals="1" fieldPosition="0"/>
    </format>
    <format dxfId="77">
      <pivotArea dataOnly="0" labelOnly="1" grandRow="1" outline="0" fieldPosition="0"/>
    </format>
    <format dxfId="70">
      <pivotArea grandRow="1" outline="0" collapsedLevelsAreSubtotals="1" fieldPosition="0"/>
    </format>
    <format dxfId="69">
      <pivotArea dataOnly="0" labelOnly="1" grandRow="1" outline="0" fieldPosition="0"/>
    </format>
    <format dxfId="62">
      <pivotArea field="8" type="button" dataOnly="0" labelOnly="1" outline="0" axis="axisRow" fieldPosition="0"/>
    </format>
    <format dxfId="61">
      <pivotArea field="8" type="button" dataOnly="0" labelOnly="1" outline="0" axis="axisRow" fieldPosition="0"/>
    </format>
    <format dxfId="60">
      <pivotArea field="8" type="button" dataOnly="0" labelOnly="1" outline="0" axis="axisRow" fieldPosition="0"/>
    </format>
    <format dxfId="59">
      <pivotArea dataOnly="0" labelOnly="1" fieldPosition="0">
        <references count="1">
          <reference field="4" count="0"/>
        </references>
      </pivotArea>
    </format>
    <format dxfId="58">
      <pivotArea dataOnly="0" labelOnly="1" grandCol="1" outline="0" fieldPosition="0"/>
    </format>
    <format dxfId="57">
      <pivotArea field="8" type="button" dataOnly="0" labelOnly="1" outline="0" axis="axisRow" fieldPosition="0"/>
    </format>
    <format dxfId="56">
      <pivotArea dataOnly="0" labelOnly="1" fieldPosition="0">
        <references count="1">
          <reference field="4" count="0"/>
        </references>
      </pivotArea>
    </format>
    <format dxfId="55">
      <pivotArea dataOnly="0" labelOnly="1" grandCol="1" outline="0" fieldPosition="0"/>
    </format>
    <format dxfId="54">
      <pivotArea field="8" type="button" dataOnly="0" labelOnly="1" outline="0" axis="axisRow" fieldPosition="0"/>
    </format>
    <format dxfId="53">
      <pivotArea dataOnly="0" labelOnly="1" fieldPosition="0">
        <references count="1">
          <reference field="4" count="0"/>
        </references>
      </pivotArea>
    </format>
    <format dxfId="52">
      <pivotArea dataOnly="0" labelOnly="1" grandCol="1" outline="0" fieldPosition="0"/>
    </format>
    <format dxfId="51">
      <pivotArea field="8" type="button" dataOnly="0" labelOnly="1" outline="0" axis="axisRow" fieldPosition="0"/>
    </format>
    <format dxfId="50">
      <pivotArea dataOnly="0" labelOnly="1" fieldPosition="0">
        <references count="1">
          <reference field="4" count="0"/>
        </references>
      </pivotArea>
    </format>
    <format dxfId="49">
      <pivotArea dataOnly="0" labelOnly="1" grandCol="1" outline="0" fieldPosition="0"/>
    </format>
    <format dxfId="48">
      <pivotArea field="8" type="button" dataOnly="0" labelOnly="1" outline="0" axis="axisRow" fieldPosition="0"/>
    </format>
    <format dxfId="47">
      <pivotArea dataOnly="0" labelOnly="1" fieldPosition="0">
        <references count="1">
          <reference field="4" count="0"/>
        </references>
      </pivotArea>
    </format>
    <format dxfId="46">
      <pivotArea dataOnly="0" labelOnly="1" grandCol="1" outline="0" fieldPosition="0"/>
    </format>
    <format dxfId="45">
      <pivotArea field="8" type="button" dataOnly="0" labelOnly="1" outline="0" axis="axisRow" fieldPosition="0"/>
    </format>
    <format dxfId="44">
      <pivotArea dataOnly="0" labelOnly="1" fieldPosition="0">
        <references count="1">
          <reference field="4" count="0"/>
        </references>
      </pivotArea>
    </format>
    <format dxfId="43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4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5">
            <x v="5"/>
            <x v="6"/>
            <x v="7"/>
            <x v="8"/>
            <x v="9"/>
          </reference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Col="1" outline="0" fieldPosition="0"/>
    </format>
  </formats>
  <chartFormats count="6"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 rowHeaderCaption="MESES" colHeaderCaption="">
  <location ref="B4:F10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5">
    <i>
      <x v="5"/>
    </i>
    <i>
      <x v="6"/>
    </i>
    <i>
      <x v="7"/>
    </i>
    <i>
      <x v="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DE DESPESAS" fld="3" baseField="8" baseItem="5" numFmtId="164"/>
  </dataFields>
  <formats count="60">
    <format dxfId="97">
      <pivotArea type="origin" dataOnly="0" labelOnly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4" type="button" dataOnly="0" labelOnly="1" outline="0" axis="axisCol" fieldPosition="0"/>
    </format>
    <format dxfId="102">
      <pivotArea type="topRight" dataOnly="0" labelOnly="1" outline="0" fieldPosition="0"/>
    </format>
    <format dxfId="103">
      <pivotArea field="8" type="button" dataOnly="0" labelOnly="1" outline="0" axis="axisRow" fieldPosition="0"/>
    </format>
    <format dxfId="104">
      <pivotArea dataOnly="0" labelOnly="1" grandRow="1" outline="0" fieldPosition="0"/>
    </format>
    <format dxfId="105">
      <pivotArea dataOnly="0" labelOnly="1" fieldPosition="0">
        <references count="1">
          <reference field="4" count="0"/>
        </references>
      </pivotArea>
    </format>
    <format dxfId="106">
      <pivotArea dataOnly="0" labelOnly="1" grandCol="1" outline="0" fieldPosition="0"/>
    </format>
    <format dxfId="107">
      <pivotArea type="all" dataOnly="0" outline="0" fieldPosition="0"/>
    </format>
    <format dxfId="108">
      <pivotArea outline="0" collapsedLevelsAreSubtotals="1" fieldPosition="0"/>
    </format>
    <format dxfId="109">
      <pivotArea type="origin" dataOnly="0" labelOnly="1" outline="0" fieldPosition="0"/>
    </format>
    <format dxfId="110">
      <pivotArea field="4" type="button" dataOnly="0" labelOnly="1" outline="0" axis="axisCol" fieldPosition="0"/>
    </format>
    <format dxfId="111">
      <pivotArea type="topRight" dataOnly="0" labelOnly="1" outline="0" fieldPosition="0"/>
    </format>
    <format dxfId="112">
      <pivotArea field="8" type="button" dataOnly="0" labelOnly="1" outline="0" axis="axisRow" fieldPosition="0"/>
    </format>
    <format dxfId="113">
      <pivotArea dataOnly="0" labelOnly="1" grandRow="1" outline="0" fieldPosition="0"/>
    </format>
    <format dxfId="114">
      <pivotArea dataOnly="0" labelOnly="1" fieldPosition="0">
        <references count="1">
          <reference field="4" count="0"/>
        </references>
      </pivotArea>
    </format>
    <format dxfId="115">
      <pivotArea dataOnly="0" labelOnly="1" grandCol="1" outline="0" fieldPosition="0"/>
    </format>
    <format dxfId="116">
      <pivotArea type="all" dataOnly="0" outline="0" fieldPosition="0"/>
    </format>
    <format dxfId="117">
      <pivotArea outline="0" collapsedLevelsAreSubtotals="1" fieldPosition="0"/>
    </format>
    <format dxfId="118">
      <pivotArea type="origin" dataOnly="0" labelOnly="1" outline="0" fieldPosition="0"/>
    </format>
    <format dxfId="119">
      <pivotArea field="4" type="button" dataOnly="0" labelOnly="1" outline="0" axis="axisCol" fieldPosition="0"/>
    </format>
    <format dxfId="120">
      <pivotArea type="topRight" dataOnly="0" labelOnly="1" outline="0" fieldPosition="0"/>
    </format>
    <format dxfId="121">
      <pivotArea field="8" type="button" dataOnly="0" labelOnly="1" outline="0" axis="axisRow" fieldPosition="0"/>
    </format>
    <format dxfId="122">
      <pivotArea dataOnly="0" labelOnly="1" grandRow="1" outline="0" fieldPosition="0"/>
    </format>
    <format dxfId="123">
      <pivotArea dataOnly="0" labelOnly="1" fieldPosition="0">
        <references count="1">
          <reference field="4" count="0"/>
        </references>
      </pivotArea>
    </format>
    <format dxfId="124">
      <pivotArea dataOnly="0" labelOnly="1" grandCol="1" outline="0" fieldPosition="0"/>
    </format>
    <format dxfId="125">
      <pivotArea type="all" dataOnly="0" outline="0" fieldPosition="0"/>
    </format>
    <format dxfId="126">
      <pivotArea collapsedLevelsAreSubtotals="1" fieldPosition="0">
        <references count="1">
          <reference field="8" count="1">
            <x v="5"/>
          </reference>
        </references>
      </pivotArea>
    </format>
    <format dxfId="127">
      <pivotArea collapsedLevelsAreSubtotals="1" fieldPosition="0">
        <references count="1">
          <reference field="8" count="1">
            <x v="6"/>
          </reference>
        </references>
      </pivotArea>
    </format>
    <format dxfId="128">
      <pivotArea collapsedLevelsAreSubtotals="1" fieldPosition="0">
        <references count="1">
          <reference field="8" count="1">
            <x v="7"/>
          </reference>
        </references>
      </pivotArea>
    </format>
    <format dxfId="129">
      <pivotArea collapsedLevelsAreSubtotals="1" fieldPosition="0">
        <references count="1">
          <reference field="8" count="1">
            <x v="8"/>
          </reference>
        </references>
      </pivotArea>
    </format>
    <format dxfId="130">
      <pivotArea type="origin" dataOnly="0" labelOnly="1" outline="0" fieldPosition="0"/>
    </format>
    <format dxfId="131">
      <pivotArea field="4" type="button" dataOnly="0" labelOnly="1" outline="0" axis="axisCol" fieldPosition="0"/>
    </format>
    <format dxfId="132">
      <pivotArea type="topRight" dataOnly="0" labelOnly="1" outline="0" fieldPosition="0"/>
    </format>
    <format dxfId="133">
      <pivotArea field="8" type="button" dataOnly="0" labelOnly="1" outline="0" axis="axisRow" fieldPosition="0"/>
    </format>
    <format dxfId="134">
      <pivotArea dataOnly="0" labelOnly="1" fieldPosition="0">
        <references count="1">
          <reference field="8" count="4">
            <x v="5"/>
            <x v="6"/>
            <x v="7"/>
            <x v="8"/>
          </reference>
        </references>
      </pivotArea>
    </format>
    <format dxfId="135">
      <pivotArea dataOnly="0" labelOnly="1" fieldPosition="0">
        <references count="1">
          <reference field="4" count="0"/>
        </references>
      </pivotArea>
    </format>
    <format dxfId="136">
      <pivotArea dataOnly="0" labelOnly="1" grandCol="1" outline="0" fieldPosition="0"/>
    </format>
    <format dxfId="95">
      <pivotArea grandRow="1" outline="0" collapsedLevelsAreSubtotals="1" fieldPosition="0"/>
    </format>
    <format dxfId="94">
      <pivotArea dataOnly="0" labelOnly="1" grandRow="1" outline="0" fieldPosition="0"/>
    </format>
    <format dxfId="93">
      <pivotArea grandRow="1" outline="0" collapsedLevelsAreSubtotals="1" fieldPosition="0"/>
    </format>
    <format dxfId="92">
      <pivotArea dataOnly="0" labelOnly="1" grandRow="1" outline="0" fieldPosition="0"/>
    </format>
    <format dxfId="91">
      <pivotArea grandRow="1" outline="0" collapsedLevelsAreSubtotals="1" fieldPosition="0"/>
    </format>
    <format dxfId="90">
      <pivotArea dataOnly="0" labelOnly="1" grandRow="1" outline="0" fieldPosition="0"/>
    </format>
    <format dxfId="84">
      <pivotArea grandRow="1" outline="0" collapsedLevelsAreSubtotals="1" fieldPosition="0"/>
    </format>
    <format dxfId="83">
      <pivotArea dataOnly="0" labelOnly="1" grandRow="1" outline="0" fieldPosition="0"/>
    </format>
    <format dxfId="76">
      <pivotArea grandRow="1" outline="0" collapsedLevelsAreSubtotals="1" fieldPosition="0"/>
    </format>
    <format dxfId="75">
      <pivotArea dataOnly="0" labelOnly="1" grandRow="1" outline="0" fieldPosition="0"/>
    </format>
    <format dxfId="74">
      <pivotArea grandRow="1" outline="0" collapsedLevelsAreSubtotals="1" fieldPosition="0"/>
    </format>
    <format dxfId="73">
      <pivotArea dataOnly="0" labelOnly="1" grandRow="1" outline="0" fieldPosition="0"/>
    </format>
    <format dxfId="72">
      <pivotArea grandRow="1" outline="0" collapsedLevelsAreSubtotals="1" fieldPosition="0"/>
    </format>
    <format dxfId="71">
      <pivotArea dataOnly="0" labelOnly="1" grandRow="1" outline="0" fieldPosition="0"/>
    </format>
    <format dxfId="68">
      <pivotArea field="8" type="button" dataOnly="0" labelOnly="1" outline="0" axis="axisRow" fieldPosition="0"/>
    </format>
    <format dxfId="67">
      <pivotArea dataOnly="0" labelOnly="1" fieldPosition="0">
        <references count="1">
          <reference field="4" count="0"/>
        </references>
      </pivotArea>
    </format>
    <format dxfId="66">
      <pivotArea dataOnly="0" labelOnly="1" grandCol="1" outline="0" fieldPosition="0"/>
    </format>
    <format dxfId="65">
      <pivotArea grandRow="1" outline="0" collapsedLevelsAreSubtotals="1" fieldPosition="0"/>
    </format>
    <format dxfId="64">
      <pivotArea dataOnly="0" labelOnly="1" grandRow="1" outline="0" fieldPosition="0"/>
    </format>
    <format dxfId="63">
      <pivotArea type="origin" dataOnly="0" labelOnly="1" outline="0" fieldPosition="0"/>
    </format>
  </formats>
  <chartFormats count="6"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5" name="Tabela5" displayName="Tabela5" ref="G3:O55" totalsRowShown="0" headerRowDxfId="22" dataDxfId="10" headerRowBorderDxfId="20" tableBorderDxfId="21">
  <autoFilter ref="G3:O55"/>
  <sortState ref="G4:O55">
    <sortCondition ref="G8:G60"/>
  </sortState>
  <tableColumns count="9">
    <tableColumn id="1" name="DATA DE VENCIMENTO" dataDxfId="19"/>
    <tableColumn id="2" name="FORNECEDOR" dataDxfId="18"/>
    <tableColumn id="3" name="DESCRIÇÃO" dataDxfId="17"/>
    <tableColumn id="4" name="VALOR A PAGAR" dataDxfId="16" dataCellStyle="Moeda"/>
    <tableColumn id="5" name="STATUS" dataDxfId="15">
      <calculatedColumnFormula>IF(L4&lt;&gt;"","PAGO",IF(G4&lt;TODAY(),"ATRASADO","PENDENTE"))</calculatedColumnFormula>
    </tableColumn>
    <tableColumn id="6" name="DATA DE PAGAMENTO" dataDxfId="14"/>
    <tableColumn id="7" name="TIPO DE PAGAMENTO" dataDxfId="13"/>
    <tableColumn id="8" name="CENTRO DE CUSTO" dataDxfId="12"/>
    <tableColumn id="9" name="TIPO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B4:I31" dataDxfId="175">
  <autoFilter ref="B4:I31"/>
  <tableColumns count="8">
    <tableColumn id="1" name="Coluna1" totalsRowLabel="Total" dataDxfId="174" totalsRowDxfId="173">
      <calculatedColumnFormula>TODAY()</calculatedColumnFormula>
    </tableColumn>
    <tableColumn id="2" name="Coluna2" dataDxfId="172" totalsRowDxfId="171"/>
    <tableColumn id="3" name="Coluna3" dataDxfId="170" totalsRowDxfId="169"/>
    <tableColumn id="4" name="Coluna4" dataDxfId="168" totalsRowDxfId="167" dataCellStyle="Moeda"/>
    <tableColumn id="5" name="Coluna5" dataDxfId="166" totalsRowDxfId="165">
      <calculatedColumnFormula>IF(G5&lt;&gt;"","PAGO",IF(B5&lt;TODAY(),"ATRASADO","PENDENTE"))</calculatedColumnFormula>
    </tableColumn>
    <tableColumn id="6" name="Coluna6" dataDxfId="164" totalsRowDxfId="163">
      <calculatedColumnFormula>TODAY()</calculatedColumnFormula>
    </tableColumn>
    <tableColumn id="7" name="Coluna7" dataDxfId="162" totalsRowDxfId="161"/>
    <tableColumn id="8" name="Coluna8" totalsRowFunction="count" dataDxfId="160" totalsRowDxfId="1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B4:I29" totalsRowShown="0" headerRowDxfId="158" dataDxfId="157" tableBorderDxfId="156">
  <autoFilter ref="B4:I29"/>
  <tableColumns count="8">
    <tableColumn id="1" name="DATA DE VENCIMENTO" dataDxfId="155"/>
    <tableColumn id="2" name="CLIENTE" dataDxfId="154"/>
    <tableColumn id="3" name="DESCRIÇÃO" dataDxfId="153"/>
    <tableColumn id="4" name="VALOR A RECEBER" dataDxfId="152"/>
    <tableColumn id="5" name="STATUS" dataDxfId="151">
      <calculatedColumnFormula>IF(G5&lt;&gt;"","PAGO",IF(B5&lt;TODAY(),"ATRASADO","PENDENTE"))</calculatedColumnFormula>
    </tableColumn>
    <tableColumn id="6" name="DATA DE PAGAMENTO" dataDxfId="150"/>
    <tableColumn id="7" name="TIPO DE PAGAMENTO" dataDxfId="149"/>
    <tableColumn id="8" name="CENTRO DE CUSTO" dataDxfId="148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O55"/>
  <sheetViews>
    <sheetView topLeftCell="F1" workbookViewId="0">
      <selection activeCell="I13" sqref="I13"/>
    </sheetView>
  </sheetViews>
  <sheetFormatPr defaultRowHeight="15" x14ac:dyDescent="0.25"/>
  <cols>
    <col min="7" max="7" width="23.28515625" style="38" customWidth="1"/>
    <col min="8" max="8" width="18.42578125" bestFit="1" customWidth="1"/>
    <col min="9" max="9" width="30.42578125" bestFit="1" customWidth="1"/>
    <col min="10" max="10" width="18.42578125" style="42" customWidth="1"/>
    <col min="11" max="11" width="10.7109375" bestFit="1" customWidth="1"/>
    <col min="12" max="12" width="23" style="38" customWidth="1"/>
    <col min="13" max="13" width="22.28515625" customWidth="1"/>
    <col min="14" max="14" width="19.42578125" customWidth="1"/>
  </cols>
  <sheetData>
    <row r="1" spans="6:15" s="48" customFormat="1" ht="30.75" customHeight="1" x14ac:dyDescent="0.25">
      <c r="F1" s="46" t="s">
        <v>88</v>
      </c>
      <c r="G1" s="47"/>
      <c r="J1" s="49"/>
      <c r="L1" s="47"/>
    </row>
    <row r="3" spans="6:15" x14ac:dyDescent="0.25">
      <c r="G3" s="43" t="s">
        <v>3</v>
      </c>
      <c r="H3" s="39" t="s">
        <v>4</v>
      </c>
      <c r="I3" s="39" t="s">
        <v>5</v>
      </c>
      <c r="J3" s="41" t="s">
        <v>6</v>
      </c>
      <c r="K3" s="39" t="s">
        <v>7</v>
      </c>
      <c r="L3" s="44" t="s">
        <v>8</v>
      </c>
      <c r="M3" s="39" t="s">
        <v>9</v>
      </c>
      <c r="N3" s="40" t="s">
        <v>10</v>
      </c>
      <c r="O3" s="39" t="s">
        <v>77</v>
      </c>
    </row>
    <row r="4" spans="6:15" x14ac:dyDescent="0.25">
      <c r="G4" s="50">
        <v>46167</v>
      </c>
      <c r="H4" s="51" t="s">
        <v>52</v>
      </c>
      <c r="I4" s="51" t="s">
        <v>53</v>
      </c>
      <c r="J4" s="52">
        <v>1282241</v>
      </c>
      <c r="K4" s="51" t="str">
        <f ca="1">IF(L4&lt;&gt;"","PAGO",IF(G4&lt;TODAY(),"ATRASADO","PENDENTE"))</f>
        <v>PAGO</v>
      </c>
      <c r="L4" s="50">
        <v>46169</v>
      </c>
      <c r="M4" s="51" t="s">
        <v>35</v>
      </c>
      <c r="N4" s="51" t="s">
        <v>38</v>
      </c>
      <c r="O4" s="51" t="s">
        <v>78</v>
      </c>
    </row>
    <row r="5" spans="6:15" x14ac:dyDescent="0.25">
      <c r="G5" s="50">
        <v>46169</v>
      </c>
      <c r="H5" s="51" t="s">
        <v>46</v>
      </c>
      <c r="I5" s="51" t="s">
        <v>47</v>
      </c>
      <c r="J5" s="52">
        <v>1001343</v>
      </c>
      <c r="K5" s="51" t="str">
        <f ca="1">IF(L5&lt;&gt;"","PAGO",IF(G5&lt;TODAY(),"ATRASADO","PENDENTE"))</f>
        <v>PAGO</v>
      </c>
      <c r="L5" s="50">
        <v>46167</v>
      </c>
      <c r="M5" s="51" t="s">
        <v>32</v>
      </c>
      <c r="N5" s="51" t="s">
        <v>38</v>
      </c>
      <c r="O5" s="51" t="s">
        <v>78</v>
      </c>
    </row>
    <row r="6" spans="6:15" x14ac:dyDescent="0.25">
      <c r="G6" s="50">
        <v>46170</v>
      </c>
      <c r="H6" s="51" t="s">
        <v>46</v>
      </c>
      <c r="I6" s="51" t="s">
        <v>43</v>
      </c>
      <c r="J6" s="52">
        <v>1393655</v>
      </c>
      <c r="K6" s="51" t="str">
        <f ca="1">IF(L6&lt;&gt;"","PAGO",IF(G6&lt;TODAY(),"ATRASADO","PENDENTE"))</f>
        <v>PAGO</v>
      </c>
      <c r="L6" s="50">
        <v>46172</v>
      </c>
      <c r="M6" s="51" t="s">
        <v>21</v>
      </c>
      <c r="N6" s="51" t="s">
        <v>15</v>
      </c>
      <c r="O6" s="51" t="s">
        <v>78</v>
      </c>
    </row>
    <row r="7" spans="6:15" x14ac:dyDescent="0.25">
      <c r="G7" s="50">
        <v>46171</v>
      </c>
      <c r="H7" s="51" t="s">
        <v>23</v>
      </c>
      <c r="I7" s="51" t="s">
        <v>24</v>
      </c>
      <c r="J7" s="52">
        <v>65169</v>
      </c>
      <c r="K7" s="51" t="str">
        <f ca="1">IF(L7&lt;&gt;"","PAGO",IF(G7&lt;TODAY(),"ATRASADO","PENDENTE"))</f>
        <v>ATRASADO</v>
      </c>
      <c r="L7" s="50"/>
      <c r="M7" s="51"/>
      <c r="N7" s="51" t="s">
        <v>15</v>
      </c>
      <c r="O7" s="51" t="s">
        <v>87</v>
      </c>
    </row>
    <row r="8" spans="6:15" x14ac:dyDescent="0.25">
      <c r="G8" s="50">
        <v>46173</v>
      </c>
      <c r="H8" s="51" t="s">
        <v>33</v>
      </c>
      <c r="I8" s="51" t="s">
        <v>13</v>
      </c>
      <c r="J8" s="52">
        <v>249298</v>
      </c>
      <c r="K8" s="51" t="str">
        <f ca="1">IF(L8&lt;&gt;"","PAGO",IF(G8&lt;TODAY(),"ATRASADO","PENDENTE"))</f>
        <v>PAGO</v>
      </c>
      <c r="L8" s="50">
        <v>46174</v>
      </c>
      <c r="M8" s="51" t="s">
        <v>14</v>
      </c>
      <c r="N8" s="51" t="s">
        <v>15</v>
      </c>
      <c r="O8" s="51" t="s">
        <v>87</v>
      </c>
    </row>
    <row r="9" spans="6:15" x14ac:dyDescent="0.25">
      <c r="G9" s="50">
        <v>46176</v>
      </c>
      <c r="H9" s="51" t="s">
        <v>56</v>
      </c>
      <c r="I9" s="51" t="s">
        <v>58</v>
      </c>
      <c r="J9" s="52">
        <v>955553</v>
      </c>
      <c r="K9" s="51" t="str">
        <f ca="1">IF(L9&lt;&gt;"","PAGO",IF(G9&lt;TODAY(),"ATRASADO","PENDENTE"))</f>
        <v>ATRASADO</v>
      </c>
      <c r="L9" s="50"/>
      <c r="M9" s="51"/>
      <c r="N9" s="51" t="s">
        <v>38</v>
      </c>
      <c r="O9" s="51" t="s">
        <v>78</v>
      </c>
    </row>
    <row r="10" spans="6:15" x14ac:dyDescent="0.25">
      <c r="G10" s="50">
        <v>46177</v>
      </c>
      <c r="H10" s="51" t="s">
        <v>56</v>
      </c>
      <c r="I10" s="51" t="s">
        <v>49</v>
      </c>
      <c r="J10" s="52">
        <v>561159</v>
      </c>
      <c r="K10" s="51" t="str">
        <f ca="1">IF(L10&lt;&gt;"","PAGO",IF(G10&lt;TODAY(),"ATRASADO","PENDENTE"))</f>
        <v>ATRASADO</v>
      </c>
      <c r="L10" s="50"/>
      <c r="M10" s="51"/>
      <c r="N10" s="51" t="s">
        <v>15</v>
      </c>
      <c r="O10" s="51" t="s">
        <v>78</v>
      </c>
    </row>
    <row r="11" spans="6:15" x14ac:dyDescent="0.25">
      <c r="G11" s="50">
        <v>46178</v>
      </c>
      <c r="H11" s="51" t="s">
        <v>25</v>
      </c>
      <c r="I11" s="51" t="s">
        <v>26</v>
      </c>
      <c r="J11" s="52">
        <v>457593</v>
      </c>
      <c r="K11" s="51" t="str">
        <f ca="1">IF(L11&lt;&gt;"","PAGO",IF(G11&lt;TODAY(),"ATRASADO","PENDENTE"))</f>
        <v>PAGO</v>
      </c>
      <c r="L11" s="50">
        <v>46173</v>
      </c>
      <c r="M11" s="51" t="s">
        <v>14</v>
      </c>
      <c r="N11" s="51" t="s">
        <v>15</v>
      </c>
      <c r="O11" s="51" t="s">
        <v>87</v>
      </c>
    </row>
    <row r="12" spans="6:15" x14ac:dyDescent="0.25">
      <c r="G12" s="50">
        <v>46179</v>
      </c>
      <c r="H12" s="51" t="s">
        <v>44</v>
      </c>
      <c r="I12" s="51" t="s">
        <v>60</v>
      </c>
      <c r="J12" s="52">
        <v>522722</v>
      </c>
      <c r="K12" s="51" t="str">
        <f ca="1">IF(L12&lt;&gt;"","PAGO",IF(G12&lt;TODAY(),"ATRASADO","PENDENTE"))</f>
        <v>PAGO</v>
      </c>
      <c r="L12" s="50">
        <v>46181</v>
      </c>
      <c r="M12" s="51" t="s">
        <v>32</v>
      </c>
      <c r="N12" s="51" t="s">
        <v>38</v>
      </c>
      <c r="O12" s="51" t="s">
        <v>78</v>
      </c>
    </row>
    <row r="13" spans="6:15" x14ac:dyDescent="0.25">
      <c r="G13" s="50">
        <v>46182</v>
      </c>
      <c r="H13" s="51" t="s">
        <v>28</v>
      </c>
      <c r="I13" s="51" t="s">
        <v>29</v>
      </c>
      <c r="J13" s="52">
        <v>269948</v>
      </c>
      <c r="K13" s="51" t="str">
        <f ca="1">IF(L13&lt;&gt;"","PAGO",IF(G13&lt;TODAY(),"ATRASADO","PENDENTE"))</f>
        <v>PAGO</v>
      </c>
      <c r="L13" s="50">
        <f ca="1">TODAY()</f>
        <v>46225</v>
      </c>
      <c r="M13" s="51"/>
      <c r="N13" s="51" t="s">
        <v>15</v>
      </c>
      <c r="O13" s="51" t="s">
        <v>87</v>
      </c>
    </row>
    <row r="14" spans="6:15" x14ac:dyDescent="0.25">
      <c r="G14" s="50">
        <v>46183</v>
      </c>
      <c r="H14" s="51" t="s">
        <v>19</v>
      </c>
      <c r="I14" s="51" t="s">
        <v>34</v>
      </c>
      <c r="J14" s="52">
        <v>290965</v>
      </c>
      <c r="K14" s="51" t="str">
        <f ca="1">IF(L14&lt;&gt;"","PAGO",IF(G14&lt;TODAY(),"ATRASADO","PENDENTE"))</f>
        <v>ATRASADO</v>
      </c>
      <c r="L14" s="50"/>
      <c r="M14" s="51"/>
      <c r="N14" s="51" t="s">
        <v>31</v>
      </c>
      <c r="O14" s="51" t="s">
        <v>87</v>
      </c>
    </row>
    <row r="15" spans="6:15" x14ac:dyDescent="0.25">
      <c r="G15" s="50">
        <v>46185</v>
      </c>
      <c r="H15" s="51" t="s">
        <v>57</v>
      </c>
      <c r="I15" s="51" t="s">
        <v>58</v>
      </c>
      <c r="J15" s="52">
        <v>159442</v>
      </c>
      <c r="K15" s="51" t="str">
        <f ca="1">IF(L15&lt;&gt;"","PAGO",IF(G15&lt;TODAY(),"ATRASADO","PENDENTE"))</f>
        <v>ATRASADO</v>
      </c>
      <c r="L15" s="50"/>
      <c r="M15" s="51"/>
      <c r="N15" s="51" t="s">
        <v>18</v>
      </c>
      <c r="O15" s="51" t="s">
        <v>78</v>
      </c>
    </row>
    <row r="16" spans="6:15" x14ac:dyDescent="0.25">
      <c r="G16" s="50">
        <v>46192</v>
      </c>
      <c r="H16" s="51" t="s">
        <v>16</v>
      </c>
      <c r="I16" s="51" t="s">
        <v>13</v>
      </c>
      <c r="J16" s="52">
        <v>128638</v>
      </c>
      <c r="K16" s="51" t="str">
        <f ca="1">IF(L16&lt;&gt;"","PAGO",IF(G16&lt;TODAY(),"ATRASADO","PENDENTE"))</f>
        <v>ATRASADO</v>
      </c>
      <c r="L16" s="50"/>
      <c r="M16" s="51"/>
      <c r="N16" s="51" t="s">
        <v>22</v>
      </c>
      <c r="O16" s="51" t="s">
        <v>87</v>
      </c>
    </row>
    <row r="17" spans="7:15" x14ac:dyDescent="0.25">
      <c r="G17" s="50">
        <v>46199</v>
      </c>
      <c r="H17" s="51" t="s">
        <v>41</v>
      </c>
      <c r="I17" s="51" t="s">
        <v>17</v>
      </c>
      <c r="J17" s="52">
        <v>497059</v>
      </c>
      <c r="K17" s="51" t="str">
        <f ca="1">IF(L17&lt;&gt;"","PAGO",IF(G17&lt;TODAY(),"ATRASADO","PENDENTE"))</f>
        <v>PAGO</v>
      </c>
      <c r="L17" s="50">
        <f ca="1">TODAY()</f>
        <v>46225</v>
      </c>
      <c r="M17" s="51"/>
      <c r="N17" s="51" t="s">
        <v>27</v>
      </c>
      <c r="O17" s="51" t="s">
        <v>87</v>
      </c>
    </row>
    <row r="18" spans="7:15" x14ac:dyDescent="0.25">
      <c r="G18" s="50">
        <v>46202</v>
      </c>
      <c r="H18" s="51" t="s">
        <v>33</v>
      </c>
      <c r="I18" s="51" t="s">
        <v>37</v>
      </c>
      <c r="J18" s="52">
        <v>474394</v>
      </c>
      <c r="K18" s="51" t="str">
        <f ca="1">IF(L18&lt;&gt;"","PAGO",IF(G18&lt;TODAY(),"ATRASADO","PENDENTE"))</f>
        <v>PAGO</v>
      </c>
      <c r="L18" s="50">
        <v>46199</v>
      </c>
      <c r="M18" s="51" t="s">
        <v>32</v>
      </c>
      <c r="N18" s="51" t="s">
        <v>18</v>
      </c>
      <c r="O18" s="51" t="s">
        <v>87</v>
      </c>
    </row>
    <row r="19" spans="7:15" x14ac:dyDescent="0.25">
      <c r="G19" s="50">
        <v>46208</v>
      </c>
      <c r="H19" s="51" t="s">
        <v>16</v>
      </c>
      <c r="I19" s="51" t="s">
        <v>17</v>
      </c>
      <c r="J19" s="52">
        <v>452135</v>
      </c>
      <c r="K19" s="51" t="str">
        <f ca="1">IF(L19&lt;&gt;"","PAGO",IF(G19&lt;TODAY(),"ATRASADO","PENDENTE"))</f>
        <v>PAGO</v>
      </c>
      <c r="L19" s="50">
        <f ca="1">TODAY()</f>
        <v>46225</v>
      </c>
      <c r="M19" s="51"/>
      <c r="N19" s="51" t="s">
        <v>18</v>
      </c>
      <c r="O19" s="51" t="s">
        <v>87</v>
      </c>
    </row>
    <row r="20" spans="7:15" x14ac:dyDescent="0.25">
      <c r="G20" s="50">
        <v>46208</v>
      </c>
      <c r="H20" s="51" t="s">
        <v>52</v>
      </c>
      <c r="I20" s="51" t="s">
        <v>47</v>
      </c>
      <c r="J20" s="52">
        <v>922892</v>
      </c>
      <c r="K20" s="51" t="str">
        <f ca="1">IF(L20&lt;&gt;"","PAGO",IF(G20&lt;TODAY(),"ATRASADO","PENDENTE"))</f>
        <v>PAGO</v>
      </c>
      <c r="L20" s="50">
        <v>46207</v>
      </c>
      <c r="M20" s="51" t="s">
        <v>35</v>
      </c>
      <c r="N20" s="51" t="s">
        <v>27</v>
      </c>
      <c r="O20" s="51" t="s">
        <v>78</v>
      </c>
    </row>
    <row r="21" spans="7:15" x14ac:dyDescent="0.25">
      <c r="G21" s="50">
        <v>46211</v>
      </c>
      <c r="H21" s="51" t="s">
        <v>23</v>
      </c>
      <c r="I21" s="51" t="s">
        <v>37</v>
      </c>
      <c r="J21" s="52">
        <v>407113</v>
      </c>
      <c r="K21" s="51" t="str">
        <f ca="1">IF(L21&lt;&gt;"","PAGO",IF(G21&lt;TODAY(),"ATRASADO","PENDENTE"))</f>
        <v>PAGO</v>
      </c>
      <c r="L21" s="50">
        <v>46206</v>
      </c>
      <c r="M21" s="51" t="s">
        <v>32</v>
      </c>
      <c r="N21" s="51" t="s">
        <v>36</v>
      </c>
      <c r="O21" s="51" t="s">
        <v>87</v>
      </c>
    </row>
    <row r="22" spans="7:15" x14ac:dyDescent="0.25">
      <c r="G22" s="50">
        <v>46211</v>
      </c>
      <c r="H22" s="51" t="s">
        <v>12</v>
      </c>
      <c r="I22" s="51" t="s">
        <v>20</v>
      </c>
      <c r="J22" s="52">
        <v>479918</v>
      </c>
      <c r="K22" s="51" t="str">
        <f ca="1">IF(L22&lt;&gt;"","PAGO",IF(G22&lt;TODAY(),"ATRASADO","PENDENTE"))</f>
        <v>ATRASADO</v>
      </c>
      <c r="L22" s="50"/>
      <c r="M22" s="51"/>
      <c r="N22" s="51" t="s">
        <v>36</v>
      </c>
      <c r="O22" s="51" t="s">
        <v>87</v>
      </c>
    </row>
    <row r="23" spans="7:15" x14ac:dyDescent="0.25">
      <c r="G23" s="50">
        <v>46212</v>
      </c>
      <c r="H23" s="51" t="s">
        <v>16</v>
      </c>
      <c r="I23" s="51" t="s">
        <v>34</v>
      </c>
      <c r="J23" s="52">
        <v>331687</v>
      </c>
      <c r="K23" s="51" t="str">
        <f ca="1">IF(L23&lt;&gt;"","PAGO",IF(G23&lt;TODAY(),"ATRASADO","PENDENTE"))</f>
        <v>ATRASADO</v>
      </c>
      <c r="L23" s="50"/>
      <c r="M23" s="51" t="s">
        <v>35</v>
      </c>
      <c r="N23" s="51" t="s">
        <v>36</v>
      </c>
      <c r="O23" s="51" t="s">
        <v>87</v>
      </c>
    </row>
    <row r="24" spans="7:15" x14ac:dyDescent="0.25">
      <c r="G24" s="50">
        <v>46217</v>
      </c>
      <c r="H24" s="51" t="s">
        <v>19</v>
      </c>
      <c r="I24" s="51" t="s">
        <v>20</v>
      </c>
      <c r="J24" s="52">
        <v>155331</v>
      </c>
      <c r="K24" s="51" t="str">
        <f ca="1">IF(L24&lt;&gt;"","PAGO",IF(G24&lt;TODAY(),"ATRASADO","PENDENTE"))</f>
        <v>PAGO</v>
      </c>
      <c r="L24" s="50">
        <v>46218</v>
      </c>
      <c r="M24" s="51" t="s">
        <v>21</v>
      </c>
      <c r="N24" s="51" t="s">
        <v>22</v>
      </c>
      <c r="O24" s="51" t="s">
        <v>87</v>
      </c>
    </row>
    <row r="25" spans="7:15" x14ac:dyDescent="0.25">
      <c r="G25" s="50">
        <v>46219</v>
      </c>
      <c r="H25" s="51" t="s">
        <v>54</v>
      </c>
      <c r="I25" s="51" t="s">
        <v>53</v>
      </c>
      <c r="J25" s="52">
        <v>607481</v>
      </c>
      <c r="K25" s="51" t="str">
        <f ca="1">IF(L25&lt;&gt;"","PAGO",IF(G25&lt;TODAY(),"ATRASADO","PENDENTE"))</f>
        <v>PAGO</v>
      </c>
      <c r="L25" s="50">
        <v>46220</v>
      </c>
      <c r="M25" s="51" t="s">
        <v>35</v>
      </c>
      <c r="N25" s="51" t="s">
        <v>31</v>
      </c>
      <c r="O25" s="51" t="s">
        <v>78</v>
      </c>
    </row>
    <row r="26" spans="7:15" x14ac:dyDescent="0.25">
      <c r="G26" s="50">
        <v>46220</v>
      </c>
      <c r="H26" s="51" t="s">
        <v>12</v>
      </c>
      <c r="I26" s="51" t="s">
        <v>13</v>
      </c>
      <c r="J26" s="52">
        <v>217311</v>
      </c>
      <c r="K26" s="51" t="str">
        <f ca="1">IF(L26&lt;&gt;"","PAGO",IF(G26&lt;TODAY(),"ATRASADO","PENDENTE"))</f>
        <v>PAGO</v>
      </c>
      <c r="L26" s="50">
        <v>46216</v>
      </c>
      <c r="M26" s="51" t="s">
        <v>14</v>
      </c>
      <c r="N26" s="51" t="s">
        <v>15</v>
      </c>
      <c r="O26" s="51" t="s">
        <v>87</v>
      </c>
    </row>
    <row r="27" spans="7:15" x14ac:dyDescent="0.25">
      <c r="G27" s="50">
        <v>46220</v>
      </c>
      <c r="H27" s="51" t="s">
        <v>16</v>
      </c>
      <c r="I27" s="51" t="s">
        <v>24</v>
      </c>
      <c r="J27" s="52">
        <v>256332</v>
      </c>
      <c r="K27" s="51" t="str">
        <f ca="1">IF(L27&lt;&gt;"","PAGO",IF(G27&lt;TODAY(),"ATRASADO","PENDENTE"))</f>
        <v>ATRASADO</v>
      </c>
      <c r="L27" s="50"/>
      <c r="M27" s="51"/>
      <c r="N27" s="51" t="s">
        <v>36</v>
      </c>
      <c r="O27" s="51" t="s">
        <v>87</v>
      </c>
    </row>
    <row r="28" spans="7:15" x14ac:dyDescent="0.25">
      <c r="G28" s="50">
        <v>46220</v>
      </c>
      <c r="H28" s="51" t="s">
        <v>33</v>
      </c>
      <c r="I28" s="51" t="s">
        <v>37</v>
      </c>
      <c r="J28" s="52">
        <v>393238</v>
      </c>
      <c r="K28" s="51" t="str">
        <f ca="1">IF(L28&lt;&gt;"","PAGO",IF(G28&lt;TODAY(),"ATRASADO","PENDENTE"))</f>
        <v>ATRASADO</v>
      </c>
      <c r="L28" s="50"/>
      <c r="M28" s="51"/>
      <c r="N28" s="51" t="s">
        <v>15</v>
      </c>
      <c r="O28" s="51" t="s">
        <v>87</v>
      </c>
    </row>
    <row r="29" spans="7:15" x14ac:dyDescent="0.25">
      <c r="G29" s="50">
        <v>46223</v>
      </c>
      <c r="H29" s="51" t="s">
        <v>57</v>
      </c>
      <c r="I29" s="51" t="s">
        <v>43</v>
      </c>
      <c r="J29" s="52">
        <v>44260</v>
      </c>
      <c r="K29" s="51" t="str">
        <f ca="1">IF(L29&lt;&gt;"","PAGO",IF(G29&lt;TODAY(),"ATRASADO","PENDENTE"))</f>
        <v>PAGO</v>
      </c>
      <c r="L29" s="50">
        <v>46221</v>
      </c>
      <c r="M29" s="51" t="s">
        <v>35</v>
      </c>
      <c r="N29" s="51" t="s">
        <v>27</v>
      </c>
      <c r="O29" s="51" t="s">
        <v>78</v>
      </c>
    </row>
    <row r="30" spans="7:15" x14ac:dyDescent="0.25">
      <c r="G30" s="50">
        <f ca="1">TODAY()</f>
        <v>46225</v>
      </c>
      <c r="H30" s="51"/>
      <c r="I30" s="51"/>
      <c r="J30" s="52"/>
      <c r="K30" s="51" t="str">
        <f ca="1">IF(L30&lt;&gt;"","PAGO",IF(G30&lt;TODAY(),"ATRASADO","PENDENTE"))</f>
        <v>PENDENTE</v>
      </c>
      <c r="L30" s="50"/>
      <c r="M30" s="51"/>
      <c r="N30" s="51"/>
      <c r="O30" s="51" t="s">
        <v>87</v>
      </c>
    </row>
    <row r="31" spans="7:15" x14ac:dyDescent="0.25">
      <c r="G31" s="50">
        <f ca="1">TODAY()</f>
        <v>46225</v>
      </c>
      <c r="H31" s="51">
        <v>46185</v>
      </c>
      <c r="I31" s="51"/>
      <c r="J31" s="52">
        <v>971237</v>
      </c>
      <c r="K31" s="51" t="str">
        <f ca="1">IF(L31&lt;&gt;"","PAGO",IF(G31&lt;TODAY(),"ATRASADO","PENDENTE"))</f>
        <v>PENDENTE</v>
      </c>
      <c r="L31" s="50"/>
      <c r="M31" s="51"/>
      <c r="N31" s="51"/>
      <c r="O31" s="51" t="s">
        <v>78</v>
      </c>
    </row>
    <row r="32" spans="7:15" x14ac:dyDescent="0.25">
      <c r="G32" s="50">
        <v>46228</v>
      </c>
      <c r="H32" s="51" t="s">
        <v>46</v>
      </c>
      <c r="I32" s="51" t="s">
        <v>45</v>
      </c>
      <c r="J32" s="52">
        <v>278593</v>
      </c>
      <c r="K32" s="51" t="str">
        <f ca="1">IF(L32&lt;&gt;"","PAGO",IF(G32&lt;TODAY(),"ATRASADO","PENDENTE"))</f>
        <v>PAGO</v>
      </c>
      <c r="L32" s="50">
        <f ca="1">TODAY()</f>
        <v>46225</v>
      </c>
      <c r="M32" s="51"/>
      <c r="N32" s="51" t="s">
        <v>18</v>
      </c>
      <c r="O32" s="51" t="s">
        <v>78</v>
      </c>
    </row>
    <row r="33" spans="7:15" x14ac:dyDescent="0.25">
      <c r="G33" s="50">
        <v>46232</v>
      </c>
      <c r="H33" s="51" t="s">
        <v>25</v>
      </c>
      <c r="I33" s="51" t="s">
        <v>20</v>
      </c>
      <c r="J33" s="52">
        <v>35608</v>
      </c>
      <c r="K33" s="51" t="str">
        <f ca="1">IF(L33&lt;&gt;"","PAGO",IF(G33&lt;TODAY(),"ATRASADO","PENDENTE"))</f>
        <v>PAGO</v>
      </c>
      <c r="L33" s="50">
        <v>46232</v>
      </c>
      <c r="M33" s="51" t="s">
        <v>35</v>
      </c>
      <c r="N33" s="51" t="s">
        <v>38</v>
      </c>
      <c r="O33" s="51" t="s">
        <v>87</v>
      </c>
    </row>
    <row r="34" spans="7:15" x14ac:dyDescent="0.25">
      <c r="G34" s="50">
        <v>46232</v>
      </c>
      <c r="H34" s="51" t="s">
        <v>52</v>
      </c>
      <c r="I34" s="51" t="s">
        <v>47</v>
      </c>
      <c r="J34" s="52">
        <v>643132</v>
      </c>
      <c r="K34" s="51" t="str">
        <f ca="1">IF(L34&lt;&gt;"","PAGO",IF(G34&lt;TODAY(),"ATRASADO","PENDENTE"))</f>
        <v>PAGO</v>
      </c>
      <c r="L34" s="50">
        <v>46231</v>
      </c>
      <c r="M34" s="51" t="s">
        <v>35</v>
      </c>
      <c r="N34" s="51" t="s">
        <v>36</v>
      </c>
      <c r="O34" s="51" t="s">
        <v>78</v>
      </c>
    </row>
    <row r="35" spans="7:15" x14ac:dyDescent="0.25">
      <c r="G35" s="50">
        <v>46234</v>
      </c>
      <c r="H35" s="51" t="s">
        <v>25</v>
      </c>
      <c r="I35" s="51" t="s">
        <v>26</v>
      </c>
      <c r="J35" s="52">
        <v>190566</v>
      </c>
      <c r="K35" s="51" t="str">
        <f ca="1">IF(L35&lt;&gt;"","PAGO",IF(G35&lt;TODAY(),"ATRASADO","PENDENTE"))</f>
        <v>PENDENTE</v>
      </c>
      <c r="L35" s="50"/>
      <c r="M35" s="51"/>
      <c r="N35" s="51" t="s">
        <v>27</v>
      </c>
      <c r="O35" s="51" t="s">
        <v>87</v>
      </c>
    </row>
    <row r="36" spans="7:15" x14ac:dyDescent="0.25">
      <c r="G36" s="50">
        <v>46240</v>
      </c>
      <c r="H36" s="51" t="s">
        <v>23</v>
      </c>
      <c r="I36" s="51" t="s">
        <v>30</v>
      </c>
      <c r="J36" s="52">
        <v>498749</v>
      </c>
      <c r="K36" s="51" t="str">
        <f ca="1">IF(L36&lt;&gt;"","PAGO",IF(G36&lt;TODAY(),"ATRASADO","PENDENTE"))</f>
        <v>PAGO</v>
      </c>
      <c r="L36" s="50">
        <v>46235</v>
      </c>
      <c r="M36" s="51" t="s">
        <v>21</v>
      </c>
      <c r="N36" s="51" t="s">
        <v>31</v>
      </c>
      <c r="O36" s="51" t="s">
        <v>87</v>
      </c>
    </row>
    <row r="37" spans="7:15" x14ac:dyDescent="0.25">
      <c r="G37" s="50">
        <v>46247</v>
      </c>
      <c r="H37" s="51" t="s">
        <v>57</v>
      </c>
      <c r="I37" s="51" t="s">
        <v>58</v>
      </c>
      <c r="J37" s="52">
        <v>71884</v>
      </c>
      <c r="K37" s="51" t="str">
        <f ca="1">IF(L37&lt;&gt;"","PAGO",IF(G37&lt;TODAY(),"ATRASADO","PENDENTE"))</f>
        <v>PAGO</v>
      </c>
      <c r="L37" s="50">
        <v>46249</v>
      </c>
      <c r="M37" s="51" t="s">
        <v>21</v>
      </c>
      <c r="N37" s="51" t="s">
        <v>38</v>
      </c>
      <c r="O37" s="51" t="s">
        <v>78</v>
      </c>
    </row>
    <row r="38" spans="7:15" x14ac:dyDescent="0.25">
      <c r="G38" s="50">
        <v>46248</v>
      </c>
      <c r="H38" s="51" t="s">
        <v>33</v>
      </c>
      <c r="I38" s="51" t="s">
        <v>29</v>
      </c>
      <c r="J38" s="52">
        <v>357209</v>
      </c>
      <c r="K38" s="51" t="str">
        <f ca="1">IF(L38&lt;&gt;"","PAGO",IF(G38&lt;TODAY(),"ATRASADO","PENDENTE"))</f>
        <v>PAGO</v>
      </c>
      <c r="L38" s="50">
        <f ca="1">TODAY()</f>
        <v>46225</v>
      </c>
      <c r="M38" s="51"/>
      <c r="N38" s="51" t="s">
        <v>22</v>
      </c>
      <c r="O38" s="51" t="s">
        <v>87</v>
      </c>
    </row>
    <row r="39" spans="7:15" x14ac:dyDescent="0.25">
      <c r="G39" s="50">
        <v>46248</v>
      </c>
      <c r="H39" s="51" t="s">
        <v>16</v>
      </c>
      <c r="I39" s="51" t="s">
        <v>40</v>
      </c>
      <c r="J39" s="52">
        <v>486368</v>
      </c>
      <c r="K39" s="51" t="str">
        <f ca="1">IF(L39&lt;&gt;"","PAGO",IF(G39&lt;TODAY(),"ATRASADO","PENDENTE"))</f>
        <v>PAGO</v>
      </c>
      <c r="L39" s="50">
        <v>46244</v>
      </c>
      <c r="M39" s="51" t="s">
        <v>21</v>
      </c>
      <c r="N39" s="51" t="s">
        <v>15</v>
      </c>
      <c r="O39" s="51" t="s">
        <v>87</v>
      </c>
    </row>
    <row r="40" spans="7:15" x14ac:dyDescent="0.25">
      <c r="G40" s="50">
        <v>46248</v>
      </c>
      <c r="H40" s="51" t="s">
        <v>46</v>
      </c>
      <c r="I40" s="51" t="s">
        <v>47</v>
      </c>
      <c r="J40" s="52">
        <v>890403</v>
      </c>
      <c r="K40" s="51" t="str">
        <f ca="1">IF(L40&lt;&gt;"","PAGO",IF(G40&lt;TODAY(),"ATRASADO","PENDENTE"))</f>
        <v>PAGO</v>
      </c>
      <c r="L40" s="50">
        <f ca="1">TODAY()</f>
        <v>46225</v>
      </c>
      <c r="M40" s="51"/>
      <c r="N40" s="51" t="s">
        <v>15</v>
      </c>
      <c r="O40" s="51" t="s">
        <v>78</v>
      </c>
    </row>
    <row r="41" spans="7:15" x14ac:dyDescent="0.25">
      <c r="G41" s="50">
        <v>46251</v>
      </c>
      <c r="H41" s="51" t="s">
        <v>41</v>
      </c>
      <c r="I41" s="51" t="s">
        <v>29</v>
      </c>
      <c r="J41" s="52">
        <v>472564</v>
      </c>
      <c r="K41" s="51" t="str">
        <f ca="1">IF(L41&lt;&gt;"","PAGO",IF(G41&lt;TODAY(),"ATRASADO","PENDENTE"))</f>
        <v>PAGO</v>
      </c>
      <c r="L41" s="50">
        <v>46250</v>
      </c>
      <c r="M41" s="51" t="s">
        <v>14</v>
      </c>
      <c r="N41" s="51" t="s">
        <v>38</v>
      </c>
      <c r="O41" s="51" t="s">
        <v>87</v>
      </c>
    </row>
    <row r="42" spans="7:15" x14ac:dyDescent="0.25">
      <c r="G42" s="50">
        <v>46252</v>
      </c>
      <c r="H42" s="51" t="s">
        <v>12</v>
      </c>
      <c r="I42" s="51" t="s">
        <v>20</v>
      </c>
      <c r="J42" s="52">
        <v>276131</v>
      </c>
      <c r="K42" s="51" t="str">
        <f ca="1">IF(L42&lt;&gt;"","PAGO",IF(G42&lt;TODAY(),"ATRASADO","PENDENTE"))</f>
        <v>PAGO</v>
      </c>
      <c r="L42" s="50">
        <v>46254</v>
      </c>
      <c r="M42" s="51" t="s">
        <v>14</v>
      </c>
      <c r="N42" s="51" t="s">
        <v>18</v>
      </c>
      <c r="O42" s="51" t="s">
        <v>87</v>
      </c>
    </row>
    <row r="43" spans="7:15" x14ac:dyDescent="0.25">
      <c r="G43" s="50">
        <v>46254</v>
      </c>
      <c r="H43" s="51" t="s">
        <v>59</v>
      </c>
      <c r="I43" s="51" t="s">
        <v>58</v>
      </c>
      <c r="J43" s="52">
        <v>1337831</v>
      </c>
      <c r="K43" s="51" t="str">
        <f ca="1">IF(L43&lt;&gt;"","PAGO",IF(G43&lt;TODAY(),"ATRASADO","PENDENTE"))</f>
        <v>PENDENTE</v>
      </c>
      <c r="L43" s="50"/>
      <c r="M43" s="51"/>
      <c r="N43" s="51" t="s">
        <v>36</v>
      </c>
      <c r="O43" s="51" t="s">
        <v>78</v>
      </c>
    </row>
    <row r="44" spans="7:15" x14ac:dyDescent="0.25">
      <c r="G44" s="50">
        <v>46257</v>
      </c>
      <c r="H44" s="51" t="s">
        <v>44</v>
      </c>
      <c r="I44" s="51" t="s">
        <v>45</v>
      </c>
      <c r="J44" s="52">
        <v>1137025</v>
      </c>
      <c r="K44" s="51" t="str">
        <f ca="1">IF(L44&lt;&gt;"","PAGO",IF(G44&lt;TODAY(),"ATRASADO","PENDENTE"))</f>
        <v>PAGO</v>
      </c>
      <c r="L44" s="50">
        <v>46255</v>
      </c>
      <c r="M44" s="51" t="s">
        <v>21</v>
      </c>
      <c r="N44" s="51" t="s">
        <v>36</v>
      </c>
      <c r="O44" s="51" t="s">
        <v>78</v>
      </c>
    </row>
    <row r="45" spans="7:15" x14ac:dyDescent="0.25">
      <c r="G45" s="50">
        <v>46260</v>
      </c>
      <c r="H45" s="51" t="s">
        <v>16</v>
      </c>
      <c r="I45" s="51" t="s">
        <v>20</v>
      </c>
      <c r="J45" s="52">
        <v>227667</v>
      </c>
      <c r="K45" s="51" t="str">
        <f ca="1">IF(L45&lt;&gt;"","PAGO",IF(G45&lt;TODAY(),"ATRASADO","PENDENTE"))</f>
        <v>PAGO</v>
      </c>
      <c r="L45" s="50">
        <v>46258</v>
      </c>
      <c r="M45" s="51" t="s">
        <v>32</v>
      </c>
      <c r="N45" s="51" t="s">
        <v>38</v>
      </c>
      <c r="O45" s="51" t="s">
        <v>87</v>
      </c>
    </row>
    <row r="46" spans="7:15" x14ac:dyDescent="0.25">
      <c r="G46" s="50">
        <v>46261</v>
      </c>
      <c r="H46" s="51" t="s">
        <v>28</v>
      </c>
      <c r="I46" s="51" t="s">
        <v>26</v>
      </c>
      <c r="J46" s="52">
        <v>316793</v>
      </c>
      <c r="K46" s="51" t="str">
        <f ca="1">IF(L46&lt;&gt;"","PAGO",IF(G46&lt;TODAY(),"ATRASADO","PENDENTE"))</f>
        <v>PAGO</v>
      </c>
      <c r="L46" s="50">
        <v>46261</v>
      </c>
      <c r="M46" s="51" t="s">
        <v>32</v>
      </c>
      <c r="N46" s="51" t="s">
        <v>18</v>
      </c>
      <c r="O46" s="51" t="s">
        <v>87</v>
      </c>
    </row>
    <row r="47" spans="7:15" x14ac:dyDescent="0.25">
      <c r="G47" s="50">
        <v>46261</v>
      </c>
      <c r="H47" s="51" t="s">
        <v>50</v>
      </c>
      <c r="I47" s="51" t="s">
        <v>51</v>
      </c>
      <c r="J47" s="52">
        <v>971237</v>
      </c>
      <c r="K47" s="51" t="str">
        <f ca="1">IF(L47&lt;&gt;"","PAGO",IF(G47&lt;TODAY(),"ATRASADO","PENDENTE"))</f>
        <v>PAGO</v>
      </c>
      <c r="L47" s="50">
        <v>46257</v>
      </c>
      <c r="M47" s="51" t="s">
        <v>14</v>
      </c>
      <c r="N47" s="51" t="s">
        <v>31</v>
      </c>
      <c r="O47" s="51" t="s">
        <v>78</v>
      </c>
    </row>
    <row r="48" spans="7:15" x14ac:dyDescent="0.25">
      <c r="G48" s="50">
        <v>46263</v>
      </c>
      <c r="H48" s="51" t="s">
        <v>44</v>
      </c>
      <c r="I48" s="51" t="s">
        <v>45</v>
      </c>
      <c r="J48" s="52">
        <v>1468989</v>
      </c>
      <c r="K48" s="51" t="str">
        <f ca="1">IF(L48&lt;&gt;"","PAGO",IF(G48&lt;TODAY(),"ATRASADO","PENDENTE"))</f>
        <v>PAGO</v>
      </c>
      <c r="L48" s="50">
        <f ca="1">TODAY()</f>
        <v>46225</v>
      </c>
      <c r="M48" s="51"/>
      <c r="N48" s="51" t="s">
        <v>38</v>
      </c>
      <c r="O48" s="51" t="s">
        <v>78</v>
      </c>
    </row>
    <row r="49" spans="7:15" x14ac:dyDescent="0.25">
      <c r="G49" s="50">
        <v>46264</v>
      </c>
      <c r="H49" s="51" t="s">
        <v>39</v>
      </c>
      <c r="I49" s="51" t="s">
        <v>40</v>
      </c>
      <c r="J49" s="52">
        <v>306694</v>
      </c>
      <c r="K49" s="51" t="str">
        <f ca="1">IF(L49&lt;&gt;"","PAGO",IF(G49&lt;TODAY(),"ATRASADO","PENDENTE"))</f>
        <v>PENDENTE</v>
      </c>
      <c r="L49" s="50"/>
      <c r="M49" s="51"/>
      <c r="N49" s="51" t="s">
        <v>15</v>
      </c>
      <c r="O49" s="51" t="s">
        <v>87</v>
      </c>
    </row>
    <row r="50" spans="7:15" x14ac:dyDescent="0.25">
      <c r="G50" s="50">
        <v>46267</v>
      </c>
      <c r="H50" s="51" t="s">
        <v>52</v>
      </c>
      <c r="I50" s="51" t="s">
        <v>49</v>
      </c>
      <c r="J50" s="52">
        <v>147901</v>
      </c>
      <c r="K50" s="51" t="str">
        <f ca="1">IF(L50&lt;&gt;"","PAGO",IF(G50&lt;TODAY(),"ATRASADO","PENDENTE"))</f>
        <v>PAGO</v>
      </c>
      <c r="L50" s="50">
        <v>46263</v>
      </c>
      <c r="M50" s="51" t="s">
        <v>14</v>
      </c>
      <c r="N50" s="51" t="s">
        <v>31</v>
      </c>
      <c r="O50" s="51" t="s">
        <v>78</v>
      </c>
    </row>
    <row r="51" spans="7:15" x14ac:dyDescent="0.25">
      <c r="G51" s="50">
        <v>46273</v>
      </c>
      <c r="H51" s="51" t="s">
        <v>48</v>
      </c>
      <c r="I51" s="51" t="s">
        <v>49</v>
      </c>
      <c r="J51" s="52">
        <v>374734</v>
      </c>
      <c r="K51" s="51" t="str">
        <f ca="1">IF(L51&lt;&gt;"","PAGO",IF(G51&lt;TODAY(),"ATRASADO","PENDENTE"))</f>
        <v>PAGO</v>
      </c>
      <c r="L51" s="50">
        <f ca="1">TODAY()</f>
        <v>46225</v>
      </c>
      <c r="M51" s="51"/>
      <c r="N51" s="51" t="s">
        <v>31</v>
      </c>
      <c r="O51" s="51" t="s">
        <v>78</v>
      </c>
    </row>
    <row r="52" spans="7:15" x14ac:dyDescent="0.25">
      <c r="G52" s="50">
        <v>46275</v>
      </c>
      <c r="H52" s="51" t="s">
        <v>42</v>
      </c>
      <c r="I52" s="51" t="s">
        <v>47</v>
      </c>
      <c r="J52" s="52">
        <v>377976</v>
      </c>
      <c r="K52" s="51" t="str">
        <f ca="1">IF(L52&lt;&gt;"","PAGO",IF(G52&lt;TODAY(),"ATRASADO","PENDENTE"))</f>
        <v>PAGO</v>
      </c>
      <c r="L52" s="50">
        <f ca="1">TODAY()</f>
        <v>46225</v>
      </c>
      <c r="M52" s="51"/>
      <c r="N52" s="51" t="s">
        <v>36</v>
      </c>
      <c r="O52" s="51" t="s">
        <v>78</v>
      </c>
    </row>
    <row r="53" spans="7:15" x14ac:dyDescent="0.25">
      <c r="G53" s="50">
        <v>46278</v>
      </c>
      <c r="H53" s="51" t="s">
        <v>46</v>
      </c>
      <c r="I53" s="51" t="s">
        <v>51</v>
      </c>
      <c r="J53" s="52">
        <v>1293239</v>
      </c>
      <c r="K53" s="51" t="str">
        <f ca="1">IF(L53&lt;&gt;"","PAGO",IF(G53&lt;TODAY(),"ATRASADO","PENDENTE"))</f>
        <v>PENDENTE</v>
      </c>
      <c r="L53" s="50"/>
      <c r="M53" s="51" t="s">
        <v>14</v>
      </c>
      <c r="N53" s="51" t="s">
        <v>22</v>
      </c>
      <c r="O53" s="51" t="s">
        <v>78</v>
      </c>
    </row>
    <row r="54" spans="7:15" x14ac:dyDescent="0.25">
      <c r="G54" s="50">
        <v>46280</v>
      </c>
      <c r="H54" s="51" t="s">
        <v>54</v>
      </c>
      <c r="I54" s="51" t="s">
        <v>55</v>
      </c>
      <c r="J54" s="52">
        <v>12266</v>
      </c>
      <c r="K54" s="51" t="str">
        <f ca="1">IF(L54&lt;&gt;"","PAGO",IF(G54&lt;TODAY(),"ATRASADO","PENDENTE"))</f>
        <v>PAGO</v>
      </c>
      <c r="L54" s="50">
        <v>46281</v>
      </c>
      <c r="M54" s="51" t="s">
        <v>21</v>
      </c>
      <c r="N54" s="51" t="s">
        <v>27</v>
      </c>
      <c r="O54" s="51" t="s">
        <v>78</v>
      </c>
    </row>
    <row r="55" spans="7:15" x14ac:dyDescent="0.25">
      <c r="G55" s="50">
        <v>46281</v>
      </c>
      <c r="H55" s="51" t="s">
        <v>42</v>
      </c>
      <c r="I55" s="51" t="s">
        <v>43</v>
      </c>
      <c r="J55" s="52">
        <v>99157</v>
      </c>
      <c r="K55" s="51" t="str">
        <f ca="1">IF(L55&lt;&gt;"","PAGO",IF(G55&lt;TODAY(),"ATRASADO","PENDENTE"))</f>
        <v>PAGO</v>
      </c>
      <c r="L55" s="50">
        <f ca="1">TODAY()</f>
        <v>46225</v>
      </c>
      <c r="M55" s="51"/>
      <c r="N55" s="51" t="s">
        <v>38</v>
      </c>
      <c r="O55" s="51" t="s">
        <v>78</v>
      </c>
    </row>
  </sheetData>
  <dataValidations count="1">
    <dataValidation type="list" allowBlank="1" showInputMessage="1" showErrorMessage="1" sqref="M4:M55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6"/>
  <sheetViews>
    <sheetView zoomScale="70" zoomScaleNormal="70" workbookViewId="0"/>
  </sheetViews>
  <sheetFormatPr defaultRowHeight="15" x14ac:dyDescent="0.25"/>
  <cols>
    <col min="2" max="2" width="40.140625" customWidth="1"/>
    <col min="3" max="3" width="28.140625" customWidth="1"/>
    <col min="4" max="4" width="24.85546875" customWidth="1"/>
    <col min="5" max="5" width="31.85546875" style="6" customWidth="1"/>
    <col min="6" max="6" width="20.42578125" customWidth="1"/>
    <col min="7" max="7" width="39.42578125" customWidth="1"/>
    <col min="8" max="8" width="30.42578125" customWidth="1"/>
    <col min="9" max="9" width="27.5703125" customWidth="1"/>
  </cols>
  <sheetData>
    <row r="1" spans="1:9" s="2" customFormat="1" ht="47.25" customHeight="1" x14ac:dyDescent="0.7">
      <c r="A1" s="1" t="s">
        <v>1</v>
      </c>
      <c r="E1" s="7"/>
    </row>
    <row r="4" spans="1:9" x14ac:dyDescent="0.25">
      <c r="B4" t="s">
        <v>79</v>
      </c>
      <c r="C4" t="s">
        <v>80</v>
      </c>
      <c r="D4" t="s">
        <v>81</v>
      </c>
      <c r="E4" s="6" t="s">
        <v>82</v>
      </c>
      <c r="F4" t="s">
        <v>83</v>
      </c>
      <c r="G4" t="s">
        <v>84</v>
      </c>
      <c r="H4" t="s">
        <v>85</v>
      </c>
      <c r="I4" t="s">
        <v>86</v>
      </c>
    </row>
    <row r="5" spans="1:9" x14ac:dyDescent="0.25">
      <c r="B5" s="4">
        <f ca="1">TODAY()</f>
        <v>46225</v>
      </c>
      <c r="C5" s="3"/>
      <c r="D5" s="3"/>
      <c r="F5" s="3" t="str">
        <f ca="1">IF(G5&lt;&gt;"","PAGO",IF(B5&lt;TODAY(),"ATRASADO","PENDENTE"))</f>
        <v>PENDENTE</v>
      </c>
      <c r="G5" s="4"/>
      <c r="H5" s="3"/>
      <c r="I5" s="3"/>
    </row>
    <row r="6" spans="1:9" x14ac:dyDescent="0.25">
      <c r="B6" s="4">
        <v>46220</v>
      </c>
      <c r="C6" s="5" t="s">
        <v>12</v>
      </c>
      <c r="D6" s="5" t="s">
        <v>13</v>
      </c>
      <c r="E6" s="6">
        <v>217311</v>
      </c>
      <c r="F6" s="3" t="str">
        <f ca="1">IF(G6&lt;&gt;"","PAGO",IF(B6&lt;TODAY(),"ATRASADO","PENDENTE"))</f>
        <v>PAGO</v>
      </c>
      <c r="G6" s="4">
        <v>46216</v>
      </c>
      <c r="H6" s="5" t="s">
        <v>14</v>
      </c>
      <c r="I6" s="5" t="s">
        <v>15</v>
      </c>
    </row>
    <row r="7" spans="1:9" x14ac:dyDescent="0.25">
      <c r="B7" s="4">
        <v>46208</v>
      </c>
      <c r="C7" s="5" t="s">
        <v>16</v>
      </c>
      <c r="D7" s="5" t="s">
        <v>17</v>
      </c>
      <c r="E7" s="6">
        <v>452135</v>
      </c>
      <c r="F7" s="3" t="str">
        <f ca="1">IF(G7&lt;&gt;"","PAGO",IF(B7&lt;TODAY(),"ATRASADO","PENDENTE"))</f>
        <v>PAGO</v>
      </c>
      <c r="G7" s="4">
        <f ca="1">TODAY()</f>
        <v>46225</v>
      </c>
      <c r="H7" s="5"/>
      <c r="I7" s="5" t="s">
        <v>18</v>
      </c>
    </row>
    <row r="8" spans="1:9" x14ac:dyDescent="0.25">
      <c r="B8" s="4">
        <v>46217</v>
      </c>
      <c r="C8" s="5" t="s">
        <v>19</v>
      </c>
      <c r="D8" s="5" t="s">
        <v>20</v>
      </c>
      <c r="E8" s="6">
        <v>155331</v>
      </c>
      <c r="F8" s="3" t="str">
        <f ca="1">IF(G8&lt;&gt;"","PAGO",IF(B8&lt;TODAY(),"ATRASADO","PENDENTE"))</f>
        <v>PAGO</v>
      </c>
      <c r="G8" s="4">
        <v>46218</v>
      </c>
      <c r="H8" s="5" t="s">
        <v>21</v>
      </c>
      <c r="I8" s="5" t="s">
        <v>22</v>
      </c>
    </row>
    <row r="9" spans="1:9" x14ac:dyDescent="0.25">
      <c r="B9" s="4">
        <v>46171</v>
      </c>
      <c r="C9" s="5" t="s">
        <v>23</v>
      </c>
      <c r="D9" s="5" t="s">
        <v>24</v>
      </c>
      <c r="E9" s="6">
        <v>65169</v>
      </c>
      <c r="F9" s="3" t="str">
        <f ca="1">IF(G9&lt;&gt;"","PAGO",IF(B9&lt;TODAY(),"ATRASADO","PENDENTE"))</f>
        <v>ATRASADO</v>
      </c>
      <c r="G9" s="4"/>
      <c r="H9" s="5"/>
      <c r="I9" s="5" t="s">
        <v>15</v>
      </c>
    </row>
    <row r="10" spans="1:9" x14ac:dyDescent="0.25">
      <c r="B10" s="4">
        <v>46234</v>
      </c>
      <c r="C10" s="5" t="s">
        <v>25</v>
      </c>
      <c r="D10" s="5" t="s">
        <v>26</v>
      </c>
      <c r="E10" s="6">
        <v>190566</v>
      </c>
      <c r="F10" s="3" t="str">
        <f ca="1">IF(G10&lt;&gt;"","PAGO",IF(B10&lt;TODAY(),"ATRASADO","PENDENTE"))</f>
        <v>PENDENTE</v>
      </c>
      <c r="G10" s="4"/>
      <c r="H10" s="5"/>
      <c r="I10" s="5" t="s">
        <v>27</v>
      </c>
    </row>
    <row r="11" spans="1:9" x14ac:dyDescent="0.25">
      <c r="B11" s="4">
        <v>46182</v>
      </c>
      <c r="C11" s="5" t="s">
        <v>28</v>
      </c>
      <c r="D11" s="5" t="s">
        <v>29</v>
      </c>
      <c r="E11" s="6">
        <v>269948</v>
      </c>
      <c r="F11" s="3" t="str">
        <f ca="1">IF(G11&lt;&gt;"","PAGO",IF(B11&lt;TODAY(),"ATRASADO","PENDENTE"))</f>
        <v>PAGO</v>
      </c>
      <c r="G11" s="4">
        <f ca="1">TODAY()</f>
        <v>46225</v>
      </c>
      <c r="H11" s="5"/>
      <c r="I11" s="5" t="s">
        <v>15</v>
      </c>
    </row>
    <row r="12" spans="1:9" x14ac:dyDescent="0.25">
      <c r="B12" s="4">
        <v>46240</v>
      </c>
      <c r="C12" s="5" t="s">
        <v>23</v>
      </c>
      <c r="D12" s="5" t="s">
        <v>30</v>
      </c>
      <c r="E12" s="6">
        <v>498749</v>
      </c>
      <c r="F12" s="3" t="str">
        <f ca="1">IF(G12&lt;&gt;"","PAGO",IF(B12&lt;TODAY(),"ATRASADO","PENDENTE"))</f>
        <v>PAGO</v>
      </c>
      <c r="G12" s="4">
        <v>46235</v>
      </c>
      <c r="H12" s="5" t="s">
        <v>21</v>
      </c>
      <c r="I12" s="5" t="s">
        <v>31</v>
      </c>
    </row>
    <row r="13" spans="1:9" x14ac:dyDescent="0.25">
      <c r="B13" s="4">
        <v>46261</v>
      </c>
      <c r="C13" s="5" t="s">
        <v>28</v>
      </c>
      <c r="D13" s="5" t="s">
        <v>26</v>
      </c>
      <c r="E13" s="6">
        <v>316793</v>
      </c>
      <c r="F13" s="3" t="str">
        <f ca="1">IF(G13&lt;&gt;"","PAGO",IF(B13&lt;TODAY(),"ATRASADO","PENDENTE"))</f>
        <v>PAGO</v>
      </c>
      <c r="G13" s="4">
        <v>46261</v>
      </c>
      <c r="H13" s="5" t="s">
        <v>32</v>
      </c>
      <c r="I13" s="5" t="s">
        <v>18</v>
      </c>
    </row>
    <row r="14" spans="1:9" x14ac:dyDescent="0.25">
      <c r="B14" s="4">
        <v>46173</v>
      </c>
      <c r="C14" s="5" t="s">
        <v>33</v>
      </c>
      <c r="D14" s="5" t="s">
        <v>13</v>
      </c>
      <c r="E14" s="6">
        <v>249298</v>
      </c>
      <c r="F14" s="3" t="str">
        <f ca="1">IF(G14&lt;&gt;"","PAGO",IF(B14&lt;TODAY(),"ATRASADO","PENDENTE"))</f>
        <v>PAGO</v>
      </c>
      <c r="G14" s="4">
        <v>46174</v>
      </c>
      <c r="H14" s="5" t="s">
        <v>14</v>
      </c>
      <c r="I14" s="5" t="s">
        <v>15</v>
      </c>
    </row>
    <row r="15" spans="1:9" x14ac:dyDescent="0.25">
      <c r="B15" s="4">
        <v>46212</v>
      </c>
      <c r="C15" s="5" t="s">
        <v>16</v>
      </c>
      <c r="D15" s="5" t="s">
        <v>34</v>
      </c>
      <c r="E15" s="6">
        <v>331687</v>
      </c>
      <c r="F15" s="3" t="str">
        <f ca="1">IF(G15&lt;&gt;"","PAGO",IF(B15&lt;TODAY(),"ATRASADO","PENDENTE"))</f>
        <v>ATRASADO</v>
      </c>
      <c r="G15" s="4"/>
      <c r="H15" s="5" t="s">
        <v>35</v>
      </c>
      <c r="I15" s="5" t="s">
        <v>36</v>
      </c>
    </row>
    <row r="16" spans="1:9" x14ac:dyDescent="0.25">
      <c r="B16" s="4">
        <v>46192</v>
      </c>
      <c r="C16" s="5" t="s">
        <v>16</v>
      </c>
      <c r="D16" s="5" t="s">
        <v>13</v>
      </c>
      <c r="E16" s="6">
        <v>128638</v>
      </c>
      <c r="F16" s="3" t="str">
        <f ca="1">IF(G16&lt;&gt;"","PAGO",IF(B16&lt;TODAY(),"ATRASADO","PENDENTE"))</f>
        <v>ATRASADO</v>
      </c>
      <c r="G16" s="4"/>
      <c r="H16" s="5"/>
      <c r="I16" s="5" t="s">
        <v>22</v>
      </c>
    </row>
    <row r="17" spans="2:9" x14ac:dyDescent="0.25">
      <c r="B17" s="4">
        <v>46220</v>
      </c>
      <c r="C17" s="5" t="s">
        <v>16</v>
      </c>
      <c r="D17" s="5" t="s">
        <v>24</v>
      </c>
      <c r="E17" s="6">
        <v>256332</v>
      </c>
      <c r="F17" s="3" t="str">
        <f ca="1">IF(G17&lt;&gt;"","PAGO",IF(B17&lt;TODAY(),"ATRASADO","PENDENTE"))</f>
        <v>ATRASADO</v>
      </c>
      <c r="G17" s="4"/>
      <c r="H17" s="5"/>
      <c r="I17" s="5" t="s">
        <v>36</v>
      </c>
    </row>
    <row r="18" spans="2:9" x14ac:dyDescent="0.25">
      <c r="B18" s="4">
        <v>46211</v>
      </c>
      <c r="C18" s="5" t="s">
        <v>23</v>
      </c>
      <c r="D18" s="5" t="s">
        <v>37</v>
      </c>
      <c r="E18" s="6">
        <v>407113</v>
      </c>
      <c r="F18" s="3" t="str">
        <f ca="1">IF(G18&lt;&gt;"","PAGO",IF(B18&lt;TODAY(),"ATRASADO","PENDENTE"))</f>
        <v>PAGO</v>
      </c>
      <c r="G18" s="4">
        <v>46206</v>
      </c>
      <c r="H18" s="5" t="s">
        <v>32</v>
      </c>
      <c r="I18" s="5" t="s">
        <v>36</v>
      </c>
    </row>
    <row r="19" spans="2:9" x14ac:dyDescent="0.25">
      <c r="B19" s="4">
        <v>46202</v>
      </c>
      <c r="C19" s="5" t="s">
        <v>33</v>
      </c>
      <c r="D19" s="5" t="s">
        <v>37</v>
      </c>
      <c r="E19" s="6">
        <v>474394</v>
      </c>
      <c r="F19" s="3" t="str">
        <f ca="1">IF(G19&lt;&gt;"","PAGO",IF(B19&lt;TODAY(),"ATRASADO","PENDENTE"))</f>
        <v>PAGO</v>
      </c>
      <c r="G19" s="4">
        <v>46199</v>
      </c>
      <c r="H19" s="5" t="s">
        <v>32</v>
      </c>
      <c r="I19" s="5" t="s">
        <v>18</v>
      </c>
    </row>
    <row r="20" spans="2:9" x14ac:dyDescent="0.25">
      <c r="B20" s="4">
        <v>46232</v>
      </c>
      <c r="C20" s="5" t="s">
        <v>25</v>
      </c>
      <c r="D20" s="5" t="s">
        <v>20</v>
      </c>
      <c r="E20" s="6">
        <v>35608</v>
      </c>
      <c r="F20" s="3" t="str">
        <f ca="1">IF(G20&lt;&gt;"","PAGO",IF(B20&lt;TODAY(),"ATRASADO","PENDENTE"))</f>
        <v>PAGO</v>
      </c>
      <c r="G20" s="4">
        <v>46232</v>
      </c>
      <c r="H20" s="36" t="s">
        <v>35</v>
      </c>
      <c r="I20" s="5" t="s">
        <v>38</v>
      </c>
    </row>
    <row r="21" spans="2:9" x14ac:dyDescent="0.25">
      <c r="B21" s="4">
        <v>46178</v>
      </c>
      <c r="C21" s="5" t="s">
        <v>25</v>
      </c>
      <c r="D21" s="5" t="s">
        <v>26</v>
      </c>
      <c r="E21" s="6">
        <v>457593</v>
      </c>
      <c r="F21" s="3" t="str">
        <f ca="1">IF(G21&lt;&gt;"","PAGO",IF(B21&lt;TODAY(),"ATRASADO","PENDENTE"))</f>
        <v>PAGO</v>
      </c>
      <c r="G21" s="4">
        <v>46173</v>
      </c>
      <c r="H21" s="5" t="s">
        <v>14</v>
      </c>
      <c r="I21" s="5" t="s">
        <v>15</v>
      </c>
    </row>
    <row r="22" spans="2:9" x14ac:dyDescent="0.25">
      <c r="B22" s="4">
        <v>46264</v>
      </c>
      <c r="C22" s="5" t="s">
        <v>39</v>
      </c>
      <c r="D22" s="5" t="s">
        <v>40</v>
      </c>
      <c r="E22" s="6">
        <v>306694</v>
      </c>
      <c r="F22" s="3" t="str">
        <f ca="1">IF(G22&lt;&gt;"","PAGO",IF(B22&lt;TODAY(),"ATRASADO","PENDENTE"))</f>
        <v>PENDENTE</v>
      </c>
      <c r="G22" s="4"/>
      <c r="H22" s="5"/>
      <c r="I22" s="5" t="s">
        <v>15</v>
      </c>
    </row>
    <row r="23" spans="2:9" x14ac:dyDescent="0.25">
      <c r="B23" s="4">
        <v>46211</v>
      </c>
      <c r="C23" s="5" t="s">
        <v>12</v>
      </c>
      <c r="D23" s="5" t="s">
        <v>20</v>
      </c>
      <c r="E23" s="6">
        <v>479918</v>
      </c>
      <c r="F23" s="3" t="str">
        <f ca="1">IF(G23&lt;&gt;"","PAGO",IF(B23&lt;TODAY(),"ATRASADO","PENDENTE"))</f>
        <v>ATRASADO</v>
      </c>
      <c r="G23" s="4"/>
      <c r="H23" s="5"/>
      <c r="I23" s="5" t="s">
        <v>36</v>
      </c>
    </row>
    <row r="24" spans="2:9" x14ac:dyDescent="0.25">
      <c r="B24" s="4">
        <v>46248</v>
      </c>
      <c r="C24" s="5" t="s">
        <v>33</v>
      </c>
      <c r="D24" s="5" t="s">
        <v>29</v>
      </c>
      <c r="E24" s="6">
        <v>357209</v>
      </c>
      <c r="F24" s="3" t="str">
        <f ca="1">IF(G24&lt;&gt;"","PAGO",IF(B24&lt;TODAY(),"ATRASADO","PENDENTE"))</f>
        <v>PAGO</v>
      </c>
      <c r="G24" s="4">
        <f ca="1">TODAY()</f>
        <v>46225</v>
      </c>
      <c r="H24" s="5"/>
      <c r="I24" s="5" t="s">
        <v>22</v>
      </c>
    </row>
    <row r="25" spans="2:9" x14ac:dyDescent="0.25">
      <c r="B25" s="4">
        <v>46260</v>
      </c>
      <c r="C25" s="5" t="s">
        <v>16</v>
      </c>
      <c r="D25" s="5" t="s">
        <v>20</v>
      </c>
      <c r="E25" s="6">
        <v>227667</v>
      </c>
      <c r="F25" s="3" t="str">
        <f ca="1">IF(G25&lt;&gt;"","PAGO",IF(B25&lt;TODAY(),"ATRASADO","PENDENTE"))</f>
        <v>PAGO</v>
      </c>
      <c r="G25" s="4">
        <v>46258</v>
      </c>
      <c r="H25" s="5" t="s">
        <v>32</v>
      </c>
      <c r="I25" s="5" t="s">
        <v>38</v>
      </c>
    </row>
    <row r="26" spans="2:9" x14ac:dyDescent="0.25">
      <c r="B26" s="4">
        <v>46252</v>
      </c>
      <c r="C26" s="5" t="s">
        <v>12</v>
      </c>
      <c r="D26" s="5" t="s">
        <v>20</v>
      </c>
      <c r="E26" s="6">
        <v>276131</v>
      </c>
      <c r="F26" s="3" t="str">
        <f ca="1">IF(G26&lt;&gt;"","PAGO",IF(B26&lt;TODAY(),"ATRASADO","PENDENTE"))</f>
        <v>PAGO</v>
      </c>
      <c r="G26" s="4">
        <v>46254</v>
      </c>
      <c r="H26" s="5" t="s">
        <v>14</v>
      </c>
      <c r="I26" s="5" t="s">
        <v>18</v>
      </c>
    </row>
    <row r="27" spans="2:9" x14ac:dyDescent="0.25">
      <c r="B27" s="4">
        <v>46248</v>
      </c>
      <c r="C27" s="5" t="s">
        <v>16</v>
      </c>
      <c r="D27" s="5" t="s">
        <v>40</v>
      </c>
      <c r="E27" s="6">
        <v>486368</v>
      </c>
      <c r="F27" s="3" t="str">
        <f ca="1">IF(G27&lt;&gt;"","PAGO",IF(B27&lt;TODAY(),"ATRASADO","PENDENTE"))</f>
        <v>PAGO</v>
      </c>
      <c r="G27" s="4">
        <v>46244</v>
      </c>
      <c r="H27" s="5" t="s">
        <v>21</v>
      </c>
      <c r="I27" s="5" t="s">
        <v>15</v>
      </c>
    </row>
    <row r="28" spans="2:9" x14ac:dyDescent="0.25">
      <c r="B28" s="4">
        <v>46199</v>
      </c>
      <c r="C28" s="5" t="s">
        <v>41</v>
      </c>
      <c r="D28" s="5" t="s">
        <v>17</v>
      </c>
      <c r="E28" s="6">
        <v>497059</v>
      </c>
      <c r="F28" s="3" t="str">
        <f ca="1">IF(G28&lt;&gt;"","PAGO",IF(B28&lt;TODAY(),"ATRASADO","PENDENTE"))</f>
        <v>PAGO</v>
      </c>
      <c r="G28" s="4">
        <f ca="1">TODAY()</f>
        <v>46225</v>
      </c>
      <c r="H28" s="5"/>
      <c r="I28" s="5" t="s">
        <v>27</v>
      </c>
    </row>
    <row r="29" spans="2:9" x14ac:dyDescent="0.25">
      <c r="B29" s="4">
        <v>46251</v>
      </c>
      <c r="C29" s="5" t="s">
        <v>41</v>
      </c>
      <c r="D29" s="5" t="s">
        <v>29</v>
      </c>
      <c r="E29" s="6">
        <v>472564</v>
      </c>
      <c r="F29" s="3" t="str">
        <f ca="1">IF(G29&lt;&gt;"","PAGO",IF(B29&lt;TODAY(),"ATRASADO","PENDENTE"))</f>
        <v>PAGO</v>
      </c>
      <c r="G29" s="4">
        <v>46250</v>
      </c>
      <c r="H29" s="5" t="s">
        <v>14</v>
      </c>
      <c r="I29" s="5" t="s">
        <v>38</v>
      </c>
    </row>
    <row r="30" spans="2:9" x14ac:dyDescent="0.25">
      <c r="B30" s="4">
        <v>46183</v>
      </c>
      <c r="C30" s="5" t="s">
        <v>19</v>
      </c>
      <c r="D30" s="5" t="s">
        <v>34</v>
      </c>
      <c r="E30" s="6">
        <v>290965</v>
      </c>
      <c r="F30" s="3" t="str">
        <f ca="1">IF(G30&lt;&gt;"","PAGO",IF(B30&lt;TODAY(),"ATRASADO","PENDENTE"))</f>
        <v>ATRASADO</v>
      </c>
      <c r="G30" s="4"/>
      <c r="H30" s="5"/>
      <c r="I30" s="5" t="s">
        <v>31</v>
      </c>
    </row>
    <row r="31" spans="2:9" x14ac:dyDescent="0.25">
      <c r="B31" s="4">
        <v>46220</v>
      </c>
      <c r="C31" s="5" t="s">
        <v>33</v>
      </c>
      <c r="D31" s="5" t="s">
        <v>37</v>
      </c>
      <c r="E31" s="6">
        <v>393238</v>
      </c>
      <c r="F31" s="3" t="str">
        <f ca="1">IF(G31&lt;&gt;"","PAGO",IF(B31&lt;TODAY(),"ATRASADO","PENDENTE"))</f>
        <v>ATRASADO</v>
      </c>
      <c r="G31" s="4"/>
      <c r="H31" s="5"/>
      <c r="I31" s="5" t="s">
        <v>15</v>
      </c>
    </row>
    <row r="33" spans="7:7" x14ac:dyDescent="0.25"/>
    <row r="36" spans="7:7" x14ac:dyDescent="0.25">
      <c r="G36" s="37"/>
    </row>
  </sheetData>
  <conditionalFormatting sqref="F5:F31">
    <cfRule type="cellIs" dxfId="36" priority="1" operator="equal">
      <formula>"PAGO"</formula>
    </cfRule>
    <cfRule type="cellIs" dxfId="35" priority="2" operator="equal">
      <formula>"PENDENTE"</formula>
    </cfRule>
    <cfRule type="cellIs" dxfId="34" priority="3" operator="equal">
      <formula>"ATRASADO"</formula>
    </cfRule>
  </conditionalFormatting>
  <dataValidations count="1">
    <dataValidation type="list" allowBlank="1" showInputMessage="1" showErrorMessage="1" sqref="H5:H31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zoomScale="70" zoomScaleNormal="70" workbookViewId="0"/>
  </sheetViews>
  <sheetFormatPr defaultRowHeight="15" x14ac:dyDescent="0.25"/>
  <cols>
    <col min="2" max="2" width="40.140625" customWidth="1"/>
    <col min="3" max="3" width="28.140625" customWidth="1"/>
    <col min="4" max="4" width="24.85546875" customWidth="1"/>
    <col min="5" max="5" width="31.85546875" style="8" customWidth="1"/>
    <col min="6" max="6" width="20.42578125" customWidth="1"/>
    <col min="7" max="7" width="39.42578125" customWidth="1"/>
    <col min="8" max="8" width="38" customWidth="1"/>
    <col min="9" max="9" width="35" customWidth="1"/>
  </cols>
  <sheetData>
    <row r="1" spans="1:9" s="2" customFormat="1" ht="47.25" customHeight="1" x14ac:dyDescent="0.7">
      <c r="A1" s="1" t="s">
        <v>0</v>
      </c>
      <c r="E1" s="20"/>
    </row>
    <row r="4" spans="1:9" ht="15.75" thickBot="1" x14ac:dyDescent="0.3">
      <c r="B4" s="9" t="s">
        <v>3</v>
      </c>
      <c r="C4" s="10" t="s">
        <v>11</v>
      </c>
      <c r="D4" s="10" t="s">
        <v>5</v>
      </c>
      <c r="E4" s="21" t="s">
        <v>70</v>
      </c>
      <c r="F4" s="10" t="s">
        <v>7</v>
      </c>
      <c r="G4" s="10" t="s">
        <v>8</v>
      </c>
      <c r="H4" s="10" t="s">
        <v>9</v>
      </c>
      <c r="I4" s="10" t="s">
        <v>10</v>
      </c>
    </row>
    <row r="5" spans="1:9" x14ac:dyDescent="0.25">
      <c r="B5" s="11">
        <f ca="1">TODAY()</f>
        <v>46225</v>
      </c>
      <c r="C5" s="14">
        <v>46185</v>
      </c>
      <c r="D5" s="12"/>
      <c r="E5" s="22">
        <v>971237</v>
      </c>
      <c r="F5" s="12" t="str">
        <f t="shared" ref="F5:F29" ca="1" si="0">IF(G5&lt;&gt;"","PAGO",IF(B5&lt;TODAY(),"ATRASADO","PENDENTE"))</f>
        <v>PENDENTE</v>
      </c>
      <c r="G5" s="13"/>
      <c r="H5" s="12"/>
      <c r="I5" s="12"/>
    </row>
    <row r="6" spans="1:9" ht="15.75" thickBot="1" x14ac:dyDescent="0.3">
      <c r="B6" s="14">
        <v>46281</v>
      </c>
      <c r="C6" s="15" t="s">
        <v>42</v>
      </c>
      <c r="D6" s="15" t="s">
        <v>43</v>
      </c>
      <c r="E6" s="22">
        <v>99157</v>
      </c>
      <c r="F6" s="15" t="str">
        <f t="shared" ca="1" si="0"/>
        <v>PAGO</v>
      </c>
      <c r="G6" s="16">
        <f ca="1">TODAY()</f>
        <v>46225</v>
      </c>
      <c r="H6" s="15"/>
      <c r="I6" s="15" t="s">
        <v>38</v>
      </c>
    </row>
    <row r="7" spans="1:9" x14ac:dyDescent="0.25">
      <c r="B7" s="14">
        <v>46257</v>
      </c>
      <c r="C7" s="15" t="s">
        <v>44</v>
      </c>
      <c r="D7" s="15" t="s">
        <v>45</v>
      </c>
      <c r="E7" s="22">
        <v>1137025</v>
      </c>
      <c r="F7" s="12" t="str">
        <f t="shared" ca="1" si="0"/>
        <v>PAGO</v>
      </c>
      <c r="G7" s="16">
        <v>46255</v>
      </c>
      <c r="H7" s="15" t="s">
        <v>21</v>
      </c>
      <c r="I7" s="15" t="s">
        <v>36</v>
      </c>
    </row>
    <row r="8" spans="1:9" ht="15.75" thickBot="1" x14ac:dyDescent="0.3">
      <c r="B8" s="14">
        <v>46169</v>
      </c>
      <c r="C8" s="15" t="s">
        <v>46</v>
      </c>
      <c r="D8" s="15" t="s">
        <v>47</v>
      </c>
      <c r="E8" s="22">
        <v>1001343</v>
      </c>
      <c r="F8" s="15" t="str">
        <f t="shared" ca="1" si="0"/>
        <v>PAGO</v>
      </c>
      <c r="G8" s="16">
        <v>46167</v>
      </c>
      <c r="H8" s="15" t="s">
        <v>32</v>
      </c>
      <c r="I8" s="15" t="s">
        <v>38</v>
      </c>
    </row>
    <row r="9" spans="1:9" x14ac:dyDescent="0.25">
      <c r="B9" s="14">
        <v>46273</v>
      </c>
      <c r="C9" s="15" t="s">
        <v>48</v>
      </c>
      <c r="D9" s="15" t="s">
        <v>49</v>
      </c>
      <c r="E9" s="22">
        <v>374734</v>
      </c>
      <c r="F9" s="12" t="str">
        <f t="shared" ca="1" si="0"/>
        <v>PAGO</v>
      </c>
      <c r="G9" s="16">
        <f ca="1">TODAY()</f>
        <v>46225</v>
      </c>
      <c r="H9" s="15"/>
      <c r="I9" s="15" t="s">
        <v>31</v>
      </c>
    </row>
    <row r="10" spans="1:9" ht="15.75" thickBot="1" x14ac:dyDescent="0.3">
      <c r="B10" s="14">
        <v>46261</v>
      </c>
      <c r="C10" s="15" t="s">
        <v>50</v>
      </c>
      <c r="D10" s="15" t="s">
        <v>51</v>
      </c>
      <c r="E10" s="22">
        <v>971237</v>
      </c>
      <c r="F10" s="15" t="str">
        <f t="shared" ca="1" si="0"/>
        <v>PAGO</v>
      </c>
      <c r="G10" s="16">
        <v>46257</v>
      </c>
      <c r="H10" s="15" t="s">
        <v>14</v>
      </c>
      <c r="I10" s="15" t="s">
        <v>31</v>
      </c>
    </row>
    <row r="11" spans="1:9" x14ac:dyDescent="0.25">
      <c r="B11" s="14">
        <v>46167</v>
      </c>
      <c r="C11" s="15" t="s">
        <v>52</v>
      </c>
      <c r="D11" s="15" t="s">
        <v>53</v>
      </c>
      <c r="E11" s="22">
        <v>1282241</v>
      </c>
      <c r="F11" s="12" t="str">
        <f t="shared" ca="1" si="0"/>
        <v>PAGO</v>
      </c>
      <c r="G11" s="16">
        <v>46169</v>
      </c>
      <c r="H11" s="15" t="s">
        <v>35</v>
      </c>
      <c r="I11" s="15" t="s">
        <v>38</v>
      </c>
    </row>
    <row r="12" spans="1:9" ht="15.75" thickBot="1" x14ac:dyDescent="0.3">
      <c r="B12" s="14">
        <v>46228</v>
      </c>
      <c r="C12" s="15" t="s">
        <v>46</v>
      </c>
      <c r="D12" s="15" t="s">
        <v>45</v>
      </c>
      <c r="E12" s="22">
        <v>278593</v>
      </c>
      <c r="F12" s="15" t="str">
        <f ca="1">IF(G12&lt;&gt;"","PAGO",IF(B12&lt;TODAY(),"ATRASADO","PENDENTE"))</f>
        <v>PAGO</v>
      </c>
      <c r="G12" s="16">
        <f ca="1">TODAY()</f>
        <v>46225</v>
      </c>
      <c r="H12" s="15"/>
      <c r="I12" s="15" t="s">
        <v>18</v>
      </c>
    </row>
    <row r="13" spans="1:9" x14ac:dyDescent="0.25">
      <c r="B13" s="14">
        <v>46278</v>
      </c>
      <c r="C13" s="15" t="s">
        <v>46</v>
      </c>
      <c r="D13" s="15" t="s">
        <v>51</v>
      </c>
      <c r="E13" s="22">
        <v>1293239</v>
      </c>
      <c r="F13" s="12" t="str">
        <f t="shared" ca="1" si="0"/>
        <v>PENDENTE</v>
      </c>
      <c r="G13" s="16"/>
      <c r="H13" s="15" t="s">
        <v>14</v>
      </c>
      <c r="I13" s="15" t="s">
        <v>22</v>
      </c>
    </row>
    <row r="14" spans="1:9" ht="15.75" thickBot="1" x14ac:dyDescent="0.3">
      <c r="B14" s="14">
        <v>46280</v>
      </c>
      <c r="C14" s="15" t="s">
        <v>54</v>
      </c>
      <c r="D14" s="15" t="s">
        <v>55</v>
      </c>
      <c r="E14" s="22">
        <v>12266</v>
      </c>
      <c r="F14" s="15" t="str">
        <f t="shared" ca="1" si="0"/>
        <v>PAGO</v>
      </c>
      <c r="G14" s="16">
        <v>46281</v>
      </c>
      <c r="H14" s="15" t="s">
        <v>21</v>
      </c>
      <c r="I14" s="15" t="s">
        <v>27</v>
      </c>
    </row>
    <row r="15" spans="1:9" x14ac:dyDescent="0.25">
      <c r="B15" s="14">
        <v>46267</v>
      </c>
      <c r="C15" s="15" t="s">
        <v>52</v>
      </c>
      <c r="D15" s="15" t="s">
        <v>49</v>
      </c>
      <c r="E15" s="22">
        <v>147901</v>
      </c>
      <c r="F15" s="12" t="str">
        <f t="shared" ca="1" si="0"/>
        <v>PAGO</v>
      </c>
      <c r="G15" s="16">
        <v>46263</v>
      </c>
      <c r="H15" s="15" t="s">
        <v>14</v>
      </c>
      <c r="I15" s="15" t="s">
        <v>31</v>
      </c>
    </row>
    <row r="16" spans="1:9" ht="15.75" thickBot="1" x14ac:dyDescent="0.3">
      <c r="B16" s="14">
        <v>46177</v>
      </c>
      <c r="C16" s="15" t="s">
        <v>56</v>
      </c>
      <c r="D16" s="15" t="s">
        <v>49</v>
      </c>
      <c r="E16" s="22">
        <v>561159</v>
      </c>
      <c r="F16" s="15" t="str">
        <f t="shared" ca="1" si="0"/>
        <v>ATRASADO</v>
      </c>
      <c r="G16" s="16"/>
      <c r="H16" s="15"/>
      <c r="I16" s="15" t="s">
        <v>15</v>
      </c>
    </row>
    <row r="17" spans="2:9" x14ac:dyDescent="0.25">
      <c r="B17" s="14">
        <v>46247</v>
      </c>
      <c r="C17" s="15" t="s">
        <v>57</v>
      </c>
      <c r="D17" s="15" t="s">
        <v>58</v>
      </c>
      <c r="E17" s="22">
        <v>71884</v>
      </c>
      <c r="F17" s="12" t="str">
        <f t="shared" ca="1" si="0"/>
        <v>PAGO</v>
      </c>
      <c r="G17" s="16">
        <v>46249</v>
      </c>
      <c r="H17" s="15" t="s">
        <v>21</v>
      </c>
      <c r="I17" s="15" t="s">
        <v>38</v>
      </c>
    </row>
    <row r="18" spans="2:9" ht="15.75" thickBot="1" x14ac:dyDescent="0.3">
      <c r="B18" s="14">
        <v>46223</v>
      </c>
      <c r="C18" s="15" t="s">
        <v>57</v>
      </c>
      <c r="D18" s="15" t="s">
        <v>43</v>
      </c>
      <c r="E18" s="22">
        <v>44260</v>
      </c>
      <c r="F18" s="15" t="str">
        <f t="shared" ca="1" si="0"/>
        <v>PAGO</v>
      </c>
      <c r="G18" s="16">
        <v>46221</v>
      </c>
      <c r="H18" s="15" t="s">
        <v>35</v>
      </c>
      <c r="I18" s="15" t="s">
        <v>27</v>
      </c>
    </row>
    <row r="19" spans="2:9" x14ac:dyDescent="0.25">
      <c r="B19" s="14">
        <v>46219</v>
      </c>
      <c r="C19" s="15" t="s">
        <v>54</v>
      </c>
      <c r="D19" s="15" t="s">
        <v>53</v>
      </c>
      <c r="E19" s="22">
        <v>607481</v>
      </c>
      <c r="F19" s="12" t="str">
        <f t="shared" ca="1" si="0"/>
        <v>PAGO</v>
      </c>
      <c r="G19" s="16">
        <v>46220</v>
      </c>
      <c r="H19" s="15" t="s">
        <v>35</v>
      </c>
      <c r="I19" s="15" t="s">
        <v>31</v>
      </c>
    </row>
    <row r="20" spans="2:9" ht="15.75" thickBot="1" x14ac:dyDescent="0.3">
      <c r="B20" s="14">
        <v>46254</v>
      </c>
      <c r="C20" s="15" t="s">
        <v>59</v>
      </c>
      <c r="D20" s="15" t="s">
        <v>58</v>
      </c>
      <c r="E20" s="22">
        <v>1337831</v>
      </c>
      <c r="F20" s="15" t="str">
        <f t="shared" ca="1" si="0"/>
        <v>PENDENTE</v>
      </c>
      <c r="G20" s="16"/>
      <c r="H20" s="15"/>
      <c r="I20" s="15" t="s">
        <v>36</v>
      </c>
    </row>
    <row r="21" spans="2:9" x14ac:dyDescent="0.25">
      <c r="B21" s="14">
        <v>46179</v>
      </c>
      <c r="C21" s="15" t="s">
        <v>44</v>
      </c>
      <c r="D21" s="15" t="s">
        <v>60</v>
      </c>
      <c r="E21" s="22">
        <v>522722</v>
      </c>
      <c r="F21" s="12" t="str">
        <f t="shared" ca="1" si="0"/>
        <v>PAGO</v>
      </c>
      <c r="G21" s="16">
        <v>46181</v>
      </c>
      <c r="H21" s="15" t="s">
        <v>32</v>
      </c>
      <c r="I21" s="15" t="s">
        <v>38</v>
      </c>
    </row>
    <row r="22" spans="2:9" ht="15.75" thickBot="1" x14ac:dyDescent="0.3">
      <c r="B22" s="14">
        <v>46208</v>
      </c>
      <c r="C22" s="15" t="s">
        <v>52</v>
      </c>
      <c r="D22" s="15" t="s">
        <v>47</v>
      </c>
      <c r="E22" s="22">
        <v>922892</v>
      </c>
      <c r="F22" s="15" t="str">
        <f t="shared" ca="1" si="0"/>
        <v>PAGO</v>
      </c>
      <c r="G22" s="16">
        <v>46207</v>
      </c>
      <c r="H22" s="15" t="s">
        <v>35</v>
      </c>
      <c r="I22" s="15" t="s">
        <v>27</v>
      </c>
    </row>
    <row r="23" spans="2:9" x14ac:dyDescent="0.25">
      <c r="B23" s="14">
        <v>46170</v>
      </c>
      <c r="C23" s="15" t="s">
        <v>46</v>
      </c>
      <c r="D23" s="15" t="s">
        <v>43</v>
      </c>
      <c r="E23" s="22">
        <v>1393655</v>
      </c>
      <c r="F23" s="12" t="str">
        <f t="shared" ca="1" si="0"/>
        <v>PAGO</v>
      </c>
      <c r="G23" s="16">
        <v>46172</v>
      </c>
      <c r="H23" s="15" t="s">
        <v>21</v>
      </c>
      <c r="I23" s="15" t="s">
        <v>15</v>
      </c>
    </row>
    <row r="24" spans="2:9" ht="15.75" thickBot="1" x14ac:dyDescent="0.3">
      <c r="B24" s="14">
        <v>46275</v>
      </c>
      <c r="C24" s="15" t="s">
        <v>42</v>
      </c>
      <c r="D24" s="15" t="s">
        <v>47</v>
      </c>
      <c r="E24" s="22">
        <v>377976</v>
      </c>
      <c r="F24" s="15" t="str">
        <f t="shared" ca="1" si="0"/>
        <v>PAGO</v>
      </c>
      <c r="G24" s="16">
        <f t="shared" ref="G24:G25" ca="1" si="1">TODAY()</f>
        <v>46225</v>
      </c>
      <c r="H24" s="15"/>
      <c r="I24" s="15" t="s">
        <v>36</v>
      </c>
    </row>
    <row r="25" spans="2:9" x14ac:dyDescent="0.25">
      <c r="B25" s="14">
        <v>46263</v>
      </c>
      <c r="C25" s="15" t="s">
        <v>44</v>
      </c>
      <c r="D25" s="15" t="s">
        <v>45</v>
      </c>
      <c r="E25" s="22">
        <v>1468989</v>
      </c>
      <c r="F25" s="12" t="str">
        <f t="shared" ca="1" si="0"/>
        <v>PAGO</v>
      </c>
      <c r="G25" s="16">
        <f t="shared" ca="1" si="1"/>
        <v>46225</v>
      </c>
      <c r="H25" s="15"/>
      <c r="I25" s="15" t="s">
        <v>38</v>
      </c>
    </row>
    <row r="26" spans="2:9" ht="15.75" thickBot="1" x14ac:dyDescent="0.3">
      <c r="B26" s="14">
        <v>46232</v>
      </c>
      <c r="C26" s="15" t="s">
        <v>52</v>
      </c>
      <c r="D26" s="15" t="s">
        <v>47</v>
      </c>
      <c r="E26" s="22">
        <v>643132</v>
      </c>
      <c r="F26" s="15" t="str">
        <f t="shared" ca="1" si="0"/>
        <v>PAGO</v>
      </c>
      <c r="G26" s="16">
        <v>46231</v>
      </c>
      <c r="H26" s="15" t="s">
        <v>35</v>
      </c>
      <c r="I26" s="15" t="s">
        <v>36</v>
      </c>
    </row>
    <row r="27" spans="2:9" x14ac:dyDescent="0.25">
      <c r="B27" s="14">
        <v>46248</v>
      </c>
      <c r="C27" s="15" t="s">
        <v>46</v>
      </c>
      <c r="D27" s="15" t="s">
        <v>47</v>
      </c>
      <c r="E27" s="22">
        <v>890403</v>
      </c>
      <c r="F27" s="12" t="str">
        <f t="shared" ca="1" si="0"/>
        <v>PAGO</v>
      </c>
      <c r="G27" s="16">
        <f t="shared" ref="G27" ca="1" si="2">TODAY()</f>
        <v>46225</v>
      </c>
      <c r="H27" s="15"/>
      <c r="I27" s="15" t="s">
        <v>15</v>
      </c>
    </row>
    <row r="28" spans="2:9" ht="15.75" thickBot="1" x14ac:dyDescent="0.3">
      <c r="B28" s="14">
        <v>46185</v>
      </c>
      <c r="C28" s="15" t="s">
        <v>57</v>
      </c>
      <c r="D28" s="15" t="s">
        <v>58</v>
      </c>
      <c r="E28" s="22">
        <v>159442</v>
      </c>
      <c r="F28" s="15" t="str">
        <f t="shared" ca="1" si="0"/>
        <v>ATRASADO</v>
      </c>
      <c r="G28" s="16"/>
      <c r="H28" s="15"/>
      <c r="I28" s="15" t="s">
        <v>18</v>
      </c>
    </row>
    <row r="29" spans="2:9" x14ac:dyDescent="0.25">
      <c r="B29" s="14">
        <v>46176</v>
      </c>
      <c r="C29" s="15" t="s">
        <v>56</v>
      </c>
      <c r="D29" s="15" t="s">
        <v>58</v>
      </c>
      <c r="E29" s="22">
        <v>955553</v>
      </c>
      <c r="F29" s="12" t="str">
        <f t="shared" ca="1" si="0"/>
        <v>ATRASADO</v>
      </c>
      <c r="G29" s="16"/>
      <c r="H29" s="15"/>
      <c r="I29" s="15" t="s">
        <v>38</v>
      </c>
    </row>
  </sheetData>
  <conditionalFormatting sqref="F5:F29">
    <cfRule type="cellIs" dxfId="33" priority="1" operator="equal">
      <formula>"PAGO"</formula>
    </cfRule>
    <cfRule type="cellIs" dxfId="32" priority="2" operator="equal">
      <formula>"PENDENTE"</formula>
    </cfRule>
    <cfRule type="cellIs" dxfId="31" priority="3" operator="equal">
      <formula>"ATRASADO"</formula>
    </cfRule>
  </conditionalFormatting>
  <dataValidations count="1">
    <dataValidation type="list" allowBlank="1" showInputMessage="1" showErrorMessage="1" sqref="H5:H29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6"/>
  <sheetViews>
    <sheetView showGridLines="0" showRowColHeaders="0" tabSelected="1" zoomScale="85" zoomScaleNormal="85" workbookViewId="0"/>
  </sheetViews>
  <sheetFormatPr defaultRowHeight="15" x14ac:dyDescent="0.25"/>
  <cols>
    <col min="2" max="2" width="18.85546875" bestFit="1" customWidth="1"/>
    <col min="3" max="3" width="17" bestFit="1" customWidth="1"/>
    <col min="4" max="4" width="15.140625" bestFit="1" customWidth="1"/>
    <col min="5" max="5" width="17" bestFit="1" customWidth="1"/>
    <col min="6" max="6" width="23.85546875" customWidth="1"/>
    <col min="7" max="7" width="19.5703125" customWidth="1"/>
    <col min="8" max="9" width="19.5703125" bestFit="1" customWidth="1"/>
    <col min="10" max="11" width="18.42578125" bestFit="1" customWidth="1"/>
    <col min="12" max="12" width="19.5703125" bestFit="1" customWidth="1"/>
    <col min="13" max="13" width="3.7109375" customWidth="1"/>
    <col min="14" max="14" width="2.7109375" customWidth="1"/>
    <col min="15" max="15" width="7.5703125" customWidth="1"/>
    <col min="16" max="16" width="7" customWidth="1"/>
    <col min="17" max="17" width="10.7109375" customWidth="1"/>
    <col min="18" max="18" width="19" customWidth="1"/>
    <col min="19" max="19" width="18.28515625" customWidth="1"/>
    <col min="20" max="20" width="19.5703125" customWidth="1"/>
    <col min="21" max="21" width="10.42578125" customWidth="1"/>
    <col min="22" max="22" width="10.7109375" customWidth="1"/>
    <col min="23" max="23" width="14" customWidth="1"/>
    <col min="24" max="24" width="12.140625" customWidth="1"/>
    <col min="25" max="25" width="9.28515625" customWidth="1"/>
    <col min="26" max="26" width="10.28515625" customWidth="1"/>
    <col min="27" max="27" width="15.28515625" customWidth="1"/>
    <col min="28" max="28" width="10.7109375" customWidth="1"/>
    <col min="29" max="33" width="7.140625" customWidth="1"/>
    <col min="34" max="34" width="6.7109375" customWidth="1"/>
    <col min="35" max="35" width="8.140625" customWidth="1"/>
    <col min="36" max="37" width="7.140625" customWidth="1"/>
    <col min="38" max="38" width="6.140625" customWidth="1"/>
    <col min="39" max="39" width="7.140625" customWidth="1"/>
    <col min="40" max="40" width="8.140625" customWidth="1"/>
    <col min="41" max="41" width="6.140625" customWidth="1"/>
    <col min="42" max="42" width="8.140625" customWidth="1"/>
    <col min="43" max="43" width="7.140625" customWidth="1"/>
    <col min="44" max="44" width="8.140625" customWidth="1"/>
    <col min="45" max="46" width="7.140625" customWidth="1"/>
    <col min="47" max="47" width="7" customWidth="1"/>
    <col min="48" max="48" width="8.140625" customWidth="1"/>
    <col min="49" max="50" width="7.140625" customWidth="1"/>
    <col min="51" max="52" width="8.140625" customWidth="1"/>
    <col min="53" max="53" width="7.140625" customWidth="1"/>
    <col min="54" max="55" width="8.140625" customWidth="1"/>
    <col min="56" max="59" width="7.140625" customWidth="1"/>
    <col min="60" max="60" width="8.140625" customWidth="1"/>
    <col min="61" max="62" width="6.5703125" customWidth="1"/>
    <col min="63" max="63" width="10.7109375" bestFit="1" customWidth="1"/>
  </cols>
  <sheetData>
    <row r="1" spans="1:22" s="2" customFormat="1" ht="47.25" customHeight="1" x14ac:dyDescent="0.7">
      <c r="A1" s="1" t="s">
        <v>2</v>
      </c>
    </row>
    <row r="4" spans="1:22" ht="15.75" thickBot="1" x14ac:dyDescent="0.3">
      <c r="B4" s="35" t="s">
        <v>72</v>
      </c>
      <c r="C4" s="24" t="s">
        <v>73</v>
      </c>
      <c r="D4" s="25"/>
      <c r="E4" s="25"/>
      <c r="F4" s="25"/>
      <c r="H4" s="17" t="s">
        <v>76</v>
      </c>
      <c r="I4" s="17" t="s">
        <v>73</v>
      </c>
      <c r="J4" s="18"/>
      <c r="K4" s="18"/>
      <c r="L4" s="18"/>
    </row>
    <row r="5" spans="1:22" ht="15.75" thickBot="1" x14ac:dyDescent="0.3">
      <c r="B5" s="33" t="s">
        <v>71</v>
      </c>
      <c r="C5" s="34" t="s">
        <v>66</v>
      </c>
      <c r="D5" s="34" t="s">
        <v>68</v>
      </c>
      <c r="E5" s="34" t="s">
        <v>69</v>
      </c>
      <c r="F5" s="34" t="s">
        <v>61</v>
      </c>
      <c r="H5" s="53" t="s">
        <v>71</v>
      </c>
      <c r="I5" s="54" t="s">
        <v>66</v>
      </c>
      <c r="J5" s="54" t="s">
        <v>68</v>
      </c>
      <c r="K5" s="54" t="s">
        <v>69</v>
      </c>
      <c r="L5" s="54" t="s">
        <v>61</v>
      </c>
    </row>
    <row r="6" spans="1:22" ht="15.75" thickBot="1" x14ac:dyDescent="0.3">
      <c r="B6" s="25" t="s">
        <v>62</v>
      </c>
      <c r="C6" s="23">
        <v>249298</v>
      </c>
      <c r="D6" s="23"/>
      <c r="E6" s="23">
        <v>65169</v>
      </c>
      <c r="F6" s="23">
        <v>314467</v>
      </c>
      <c r="H6" s="19" t="s">
        <v>62</v>
      </c>
      <c r="I6" s="18">
        <v>3677239</v>
      </c>
      <c r="J6" s="18"/>
      <c r="K6" s="18"/>
      <c r="L6" s="18">
        <v>3677239</v>
      </c>
    </row>
    <row r="7" spans="1:22" ht="15.75" thickBot="1" x14ac:dyDescent="0.3">
      <c r="B7" s="25" t="s">
        <v>63</v>
      </c>
      <c r="C7" s="23">
        <v>1698994</v>
      </c>
      <c r="D7" s="23"/>
      <c r="E7" s="23">
        <v>419603</v>
      </c>
      <c r="F7" s="23">
        <v>2118597</v>
      </c>
      <c r="H7" s="19" t="s">
        <v>63</v>
      </c>
      <c r="I7" s="18">
        <v>522722</v>
      </c>
      <c r="J7" s="18"/>
      <c r="K7" s="18">
        <v>1676154</v>
      </c>
      <c r="L7" s="18">
        <v>2198876</v>
      </c>
    </row>
    <row r="8" spans="1:22" ht="15.75" thickBot="1" x14ac:dyDescent="0.3">
      <c r="B8" s="25" t="s">
        <v>64</v>
      </c>
      <c r="C8" s="23">
        <v>1267498</v>
      </c>
      <c r="D8" s="23">
        <v>190566</v>
      </c>
      <c r="E8" s="23">
        <v>1461175</v>
      </c>
      <c r="F8" s="23">
        <v>2919239</v>
      </c>
      <c r="H8" s="19" t="s">
        <v>64</v>
      </c>
      <c r="I8" s="18">
        <v>2496358</v>
      </c>
      <c r="J8" s="18"/>
      <c r="K8" s="18"/>
      <c r="L8" s="18">
        <v>2496358</v>
      </c>
      <c r="S8" s="26"/>
      <c r="T8" s="28"/>
      <c r="U8" s="28"/>
      <c r="V8" s="28"/>
    </row>
    <row r="9" spans="1:22" ht="15.75" thickBot="1" x14ac:dyDescent="0.3">
      <c r="B9" s="25" t="s">
        <v>65</v>
      </c>
      <c r="C9" s="23">
        <v>2635481</v>
      </c>
      <c r="D9" s="23">
        <v>306694</v>
      </c>
      <c r="E9" s="23"/>
      <c r="F9" s="23">
        <v>2942175</v>
      </c>
      <c r="H9" s="19" t="s">
        <v>65</v>
      </c>
      <c r="I9" s="18">
        <v>4539538</v>
      </c>
      <c r="J9" s="18">
        <v>1337831</v>
      </c>
      <c r="K9" s="18"/>
      <c r="L9" s="18">
        <v>5877369</v>
      </c>
      <c r="S9" s="26"/>
      <c r="T9" s="28"/>
      <c r="U9" s="28"/>
      <c r="V9" s="28"/>
    </row>
    <row r="10" spans="1:22" ht="16.5" thickBot="1" x14ac:dyDescent="0.3">
      <c r="B10" s="29" t="s">
        <v>61</v>
      </c>
      <c r="C10" s="30">
        <v>5851271</v>
      </c>
      <c r="D10" s="30">
        <v>497260</v>
      </c>
      <c r="E10" s="30">
        <v>1945947</v>
      </c>
      <c r="F10" s="30">
        <v>8294478</v>
      </c>
      <c r="H10" s="19" t="s">
        <v>67</v>
      </c>
      <c r="I10" s="18">
        <v>1012034</v>
      </c>
      <c r="J10" s="18">
        <v>1293239</v>
      </c>
      <c r="K10" s="18"/>
      <c r="L10" s="18">
        <v>2305273</v>
      </c>
      <c r="S10" s="26"/>
      <c r="T10" s="28"/>
      <c r="U10" s="28"/>
      <c r="V10" s="28"/>
    </row>
    <row r="11" spans="1:22" ht="15.75" x14ac:dyDescent="0.25">
      <c r="H11" s="31" t="s">
        <v>61</v>
      </c>
      <c r="I11" s="32">
        <v>12247891</v>
      </c>
      <c r="J11" s="32">
        <v>2631070</v>
      </c>
      <c r="K11" s="32">
        <v>1676154</v>
      </c>
      <c r="L11" s="32">
        <v>16555115</v>
      </c>
      <c r="S11" s="26"/>
      <c r="T11" s="28"/>
      <c r="U11" s="28"/>
      <c r="V11" s="28"/>
    </row>
    <row r="30" spans="2:12" x14ac:dyDescent="0.25">
      <c r="B30" t="s">
        <v>74</v>
      </c>
      <c r="C30" s="27">
        <f>GETPIVOTDATA("VALOR A PAGAR",$B$4)/D31</f>
        <v>0.33378727772322064</v>
      </c>
      <c r="D30" s="27"/>
    </row>
    <row r="31" spans="2:12" x14ac:dyDescent="0.25">
      <c r="B31" t="s">
        <v>75</v>
      </c>
      <c r="C31" s="27">
        <f>GETPIVOTDATA("VALOR A PAGAR",$H$4)/D31</f>
        <v>0.6662127222767793</v>
      </c>
      <c r="D31" s="27">
        <f>GETPIVOTDATA("VALOR A PAGAR",$B$4)+GETPIVOTDATA("VALOR A PAGAR",$H$4)</f>
        <v>24849593</v>
      </c>
      <c r="H31" s="26"/>
      <c r="I31" s="28"/>
      <c r="J31" s="28"/>
      <c r="K31" s="28"/>
      <c r="L31" s="28"/>
    </row>
    <row r="32" spans="2:12" x14ac:dyDescent="0.25">
      <c r="H32" s="26"/>
      <c r="I32" s="28"/>
      <c r="J32" s="28"/>
      <c r="K32" s="28"/>
      <c r="L32" s="28"/>
    </row>
    <row r="33" spans="7:12" x14ac:dyDescent="0.25">
      <c r="G33" s="45"/>
      <c r="H33" s="26"/>
      <c r="I33" s="28"/>
      <c r="J33" s="28"/>
      <c r="K33" s="28"/>
      <c r="L33" s="28"/>
    </row>
    <row r="34" spans="7:12" x14ac:dyDescent="0.25">
      <c r="G34" s="45"/>
      <c r="H34" s="26"/>
      <c r="I34" s="28"/>
      <c r="J34" s="28"/>
      <c r="K34" s="28"/>
      <c r="L34" s="28"/>
    </row>
    <row r="35" spans="7:12" x14ac:dyDescent="0.25">
      <c r="H35" s="26"/>
      <c r="I35" s="28"/>
      <c r="J35" s="28"/>
      <c r="K35" s="28"/>
      <c r="L35" s="28"/>
    </row>
    <row r="36" spans="7:12" x14ac:dyDescent="0.25">
      <c r="H36" s="26"/>
      <c r="I36" s="28"/>
      <c r="J36" s="28"/>
      <c r="K36" s="28"/>
      <c r="L36" s="28"/>
    </row>
    <row r="37" spans="7:12" x14ac:dyDescent="0.25">
      <c r="H37" s="26"/>
      <c r="I37" s="28"/>
      <c r="J37" s="28"/>
      <c r="K37" s="28"/>
      <c r="L37" s="28"/>
    </row>
    <row r="38" spans="7:12" x14ac:dyDescent="0.25">
      <c r="H38" s="26"/>
      <c r="I38" s="28"/>
      <c r="J38" s="28"/>
      <c r="K38" s="28"/>
      <c r="L38" s="28"/>
    </row>
    <row r="39" spans="7:12" x14ac:dyDescent="0.25">
      <c r="H39" s="26"/>
      <c r="I39" s="28"/>
      <c r="J39" s="28"/>
      <c r="K39" s="28"/>
      <c r="L39" s="28"/>
    </row>
    <row r="40" spans="7:12" x14ac:dyDescent="0.25">
      <c r="H40" s="26"/>
      <c r="I40" s="28"/>
      <c r="J40" s="28"/>
      <c r="K40" s="28"/>
      <c r="L40" s="28"/>
    </row>
    <row r="41" spans="7:12" x14ac:dyDescent="0.25">
      <c r="H41" s="26"/>
      <c r="I41" s="28"/>
      <c r="J41" s="28"/>
      <c r="K41" s="28"/>
      <c r="L41" s="28"/>
    </row>
    <row r="42" spans="7:12" x14ac:dyDescent="0.25">
      <c r="H42" s="26"/>
      <c r="I42" s="28"/>
      <c r="J42" s="28"/>
      <c r="K42" s="28"/>
      <c r="L42" s="28"/>
    </row>
    <row r="70" spans="6:9" x14ac:dyDescent="0.25">
      <c r="F70" s="26"/>
      <c r="G70" s="28"/>
      <c r="H70" s="28"/>
      <c r="I70" s="28"/>
    </row>
    <row r="71" spans="6:9" x14ac:dyDescent="0.25">
      <c r="F71" s="26"/>
      <c r="G71" s="28"/>
      <c r="H71" s="28"/>
      <c r="I71" s="28"/>
    </row>
    <row r="72" spans="6:9" x14ac:dyDescent="0.25">
      <c r="F72" s="26"/>
      <c r="G72" s="28"/>
      <c r="H72" s="28"/>
      <c r="I72" s="28"/>
    </row>
    <row r="73" spans="6:9" x14ac:dyDescent="0.25">
      <c r="F73" s="26"/>
      <c r="G73" s="28"/>
      <c r="H73" s="28"/>
      <c r="I73" s="28"/>
    </row>
    <row r="74" spans="6:9" x14ac:dyDescent="0.25">
      <c r="F74" s="26"/>
      <c r="G74" s="28"/>
      <c r="H74" s="28"/>
      <c r="I74" s="28"/>
    </row>
    <row r="75" spans="6:9" x14ac:dyDescent="0.25">
      <c r="F75" s="26"/>
      <c r="G75" s="28"/>
      <c r="H75" s="28"/>
      <c r="I75" s="28"/>
    </row>
    <row r="76" spans="6:9" x14ac:dyDescent="0.25">
      <c r="F76" s="26"/>
      <c r="G76" s="28"/>
      <c r="H76" s="28"/>
      <c r="I76" s="28"/>
    </row>
  </sheetData>
  <conditionalFormatting sqref="Q7:Q8">
    <cfRule type="cellIs" dxfId="30" priority="1" operator="equal">
      <formula>"A RECEBER"</formula>
    </cfRule>
    <cfRule type="cellIs" dxfId="29" priority="2" operator="equal">
      <formula>"A PAGAR"</formula>
    </cfRule>
    <cfRule type="cellIs" dxfId="28" priority="3" operator="equal">
      <formula>"A PAGAR"</formula>
    </cfRule>
    <cfRule type="cellIs" dxfId="27" priority="4" operator="equal">
      <formula>"A PAGAR"</formula>
    </cfRule>
    <cfRule type="cellIs" dxfId="26" priority="5" operator="equal">
      <formula>"A PAGAR"</formula>
    </cfRule>
    <cfRule type="cellIs" dxfId="25" priority="6" operator="equal">
      <formula>"A RECEBER"</formula>
    </cfRule>
    <cfRule type="cellIs" dxfId="24" priority="7" operator="equal">
      <formula>"A RECEBER"</formula>
    </cfRule>
    <cfRule type="cellIs" dxfId="23" priority="8" operator="equal">
      <formula>"A PAGAR"</formula>
    </cfRule>
    <cfRule type="containsText" priority="9" operator="containsText" text="A PAGAR">
      <formula>NOT(ISERROR(SEARCH("A PAGAR",Q7)))</formula>
    </cfRule>
    <cfRule type="colorScale" priority="10">
      <colorScale>
        <cfvo type="formula" val="&quot;A PAGAR&quot;"/>
        <cfvo type="max"/>
        <color rgb="FFFF0000"/>
        <color rgb="FFFFEF9C"/>
      </colorScale>
    </cfRule>
  </conditionalFormatting>
  <dataValidations count="2">
    <dataValidation type="list" allowBlank="1" showInputMessage="1" showErrorMessage="1" sqref="P7:P11">
      <formula1>"PAGO,PENDENTE,ATRASADO"</formula1>
    </dataValidation>
    <dataValidation type="list" allowBlank="1" showInputMessage="1" showErrorMessage="1" sqref="Q7:Q8">
      <formula1>"A PAGAR, A RECEBER"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 DE DADOS</vt:lpstr>
      <vt:lpstr>CONTAS A PAGAR</vt:lpstr>
      <vt:lpstr>CONTAS A RECEBER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2026-07-18T01:37:25Z</dcterms:created>
  <dcterms:modified xsi:type="dcterms:W3CDTF">2026-07-23T02:13:38Z</dcterms:modified>
</cp:coreProperties>
</file>