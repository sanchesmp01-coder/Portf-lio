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Github\Portfolio\Portfólio\Excel\excel-dashboard-financeiro\Dashboard Financeiro\"/>
    </mc:Choice>
  </mc:AlternateContent>
  <bookViews>
    <workbookView xWindow="0" yWindow="0" windowWidth="12990" windowHeight="5865" activeTab="2"/>
  </bookViews>
  <sheets>
    <sheet name="CONTAS A PAGAR" sheetId="5" r:id="rId1"/>
    <sheet name="CONTAS A RECEBER" sheetId="4" r:id="rId2"/>
    <sheet name="ANALISE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4" l="1"/>
  <c r="G8" i="4"/>
  <c r="G11" i="4"/>
  <c r="G19" i="4"/>
  <c r="G23" i="4"/>
  <c r="G24" i="4"/>
  <c r="G26" i="4"/>
  <c r="G27" i="4"/>
  <c r="G28" i="4"/>
  <c r="G7" i="5"/>
  <c r="G9" i="5"/>
  <c r="G10" i="5"/>
  <c r="G11" i="5"/>
  <c r="G16" i="5"/>
  <c r="G17" i="5"/>
  <c r="G22" i="5"/>
  <c r="G23" i="5"/>
  <c r="G24" i="5"/>
  <c r="G28" i="5"/>
  <c r="G30" i="5"/>
  <c r="G31" i="5"/>
  <c r="B5" i="5"/>
  <c r="G5" i="5"/>
  <c r="F5" i="5" s="1"/>
  <c r="B4" i="4"/>
  <c r="G4" i="4"/>
  <c r="F4" i="4" s="1"/>
</calcChain>
</file>

<file path=xl/sharedStrings.xml><?xml version="1.0" encoding="utf-8"?>
<sst xmlns="http://schemas.openxmlformats.org/spreadsheetml/2006/main" count="248" uniqueCount="63">
  <si>
    <t>CONTAS A RECEBER</t>
  </si>
  <si>
    <t>CONTAS A PAGAR</t>
  </si>
  <si>
    <t>ANÁLISES</t>
  </si>
  <si>
    <t>DATA DE VENCIMENTO</t>
  </si>
  <si>
    <t>FORNECEDOR</t>
  </si>
  <si>
    <t>DESCRIÇÃO</t>
  </si>
  <si>
    <t>VALOR A PAGAR</t>
  </si>
  <si>
    <t>STATUS</t>
  </si>
  <si>
    <t>DATA DE PAGAMENTO</t>
  </si>
  <si>
    <t>TIPO DE PAGAMENTO</t>
  </si>
  <si>
    <t>CENTRO DE CUSTO</t>
  </si>
  <si>
    <t>CLIENTE</t>
  </si>
  <si>
    <t>Gráfica Rápida</t>
  </si>
  <si>
    <t>Conta de Luz</t>
  </si>
  <si>
    <t>Pago</t>
  </si>
  <si>
    <t>Cartão de Crédito</t>
  </si>
  <si>
    <t>RH</t>
  </si>
  <si>
    <t>Aluguel Imóveis</t>
  </si>
  <si>
    <t>Hospedagem de Site</t>
  </si>
  <si>
    <t>Pendente</t>
  </si>
  <si>
    <t>Marketing</t>
  </si>
  <si>
    <t>Consultoria XPTO</t>
  </si>
  <si>
    <t>Material de Escritório</t>
  </si>
  <si>
    <t>Boleto</t>
  </si>
  <si>
    <t>Vendas</t>
  </si>
  <si>
    <t>Limpeza &amp; Cia</t>
  </si>
  <si>
    <t>Assinatura de Software</t>
  </si>
  <si>
    <t>Energia S.A.</t>
  </si>
  <si>
    <t>Seguro Predial</t>
  </si>
  <si>
    <t>Operacional</t>
  </si>
  <si>
    <t>AWS Amazon</t>
  </si>
  <si>
    <t>Manutenção de Ar-condicionado</t>
  </si>
  <si>
    <t>Campanha de Marketing</t>
  </si>
  <si>
    <t>Administrativo</t>
  </si>
  <si>
    <t>Pix</t>
  </si>
  <si>
    <t>Papelaria Silva</t>
  </si>
  <si>
    <t>Serviços de Consultoria</t>
  </si>
  <si>
    <t>Transferência Bancária</t>
  </si>
  <si>
    <t>TI</t>
  </si>
  <si>
    <t>Insumos de Produção</t>
  </si>
  <si>
    <t>Financeiro</t>
  </si>
  <si>
    <t>Seguros Porto</t>
  </si>
  <si>
    <t>Limpeza Mensal</t>
  </si>
  <si>
    <t>Internet Fibra</t>
  </si>
  <si>
    <t>Varejo Global</t>
  </si>
  <si>
    <t>Suporte Premium</t>
  </si>
  <si>
    <t>Construtora Alfa</t>
  </si>
  <si>
    <t>Projeto de Software</t>
  </si>
  <si>
    <t>Supermercado Real</t>
  </si>
  <si>
    <t>Venda de Equipamento</t>
  </si>
  <si>
    <t>João Silva</t>
  </si>
  <si>
    <t>Manutenção de Sistema</t>
  </si>
  <si>
    <t>Academia Fit</t>
  </si>
  <si>
    <t>Venda de Licença</t>
  </si>
  <si>
    <t>Escola Aprender</t>
  </si>
  <si>
    <t>Desenvolvimento de Site</t>
  </si>
  <si>
    <t>Hospital Vida</t>
  </si>
  <si>
    <t>Consultoria Técnica</t>
  </si>
  <si>
    <t>Restaurante Sabor</t>
  </si>
  <si>
    <t>Tech Solutions Ltda</t>
  </si>
  <si>
    <t>Prestação de Serviço Mensal</t>
  </si>
  <si>
    <t>Maria Oliveira</t>
  </si>
  <si>
    <t>Curso de Treinamento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</si>
</sst>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/>
      <top style="medium">
        <color theme="9"/>
      </top>
      <bottom/>
      <diagonal/>
    </border>
    <border>
      <left style="thin">
        <color theme="9"/>
      </left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1" fillId="2" borderId="0" xfId="1" applyFont="1" applyFill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  <xf numFmtId="14" fontId="0" fillId="0" borderId="3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9"/>
        </top>
        <bottom/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ONTAS A PAGAR'!A1"/><Relationship Id="rId2" Type="http://schemas.openxmlformats.org/officeDocument/2006/relationships/hyperlink" Target="#'CONTAS A RECEBER'!A1"/><Relationship Id="rId1" Type="http://schemas.openxmlformats.org/officeDocument/2006/relationships/hyperlink" Target="#ANALIS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ANALISES!A1"/><Relationship Id="rId2" Type="http://schemas.openxmlformats.org/officeDocument/2006/relationships/hyperlink" Target="#'CONTAS A RECEBER'!A1"/><Relationship Id="rId1" Type="http://schemas.openxmlformats.org/officeDocument/2006/relationships/hyperlink" Target="#'CONTAS A PAGAR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ANALISES!A1"/><Relationship Id="rId2" Type="http://schemas.openxmlformats.org/officeDocument/2006/relationships/hyperlink" Target="#'CONTAS A RECEBER'!A1"/><Relationship Id="rId1" Type="http://schemas.openxmlformats.org/officeDocument/2006/relationships/hyperlink" Target="#'CONTAS A PAGA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807893</xdr:colOff>
      <xdr:row>0</xdr:row>
      <xdr:rowOff>45893</xdr:rowOff>
    </xdr:from>
    <xdr:to>
      <xdr:col>5</xdr:col>
      <xdr:colOff>232930</xdr:colOff>
      <xdr:row>0</xdr:row>
      <xdr:rowOff>550718</xdr:rowOff>
    </xdr:to>
    <xdr:sp macro="" textlink="">
      <xdr:nvSpPr>
        <xdr:cNvPr id="4" name="Retângulo Arredondado 3">
          <a:hlinkClick xmlns:r="http://schemas.openxmlformats.org/officeDocument/2006/relationships" r:id="rId1"/>
        </xdr:cNvPr>
        <xdr:cNvSpPr/>
      </xdr:nvSpPr>
      <xdr:spPr>
        <a:xfrm>
          <a:off x="7672821" y="45893"/>
          <a:ext cx="1565564" cy="504825"/>
        </a:xfrm>
        <a:prstGeom prst="roundRect">
          <a:avLst>
            <a:gd name="adj" fmla="val 18868"/>
          </a:avLst>
        </a:prstGeom>
        <a:solidFill>
          <a:schemeClr val="accent5">
            <a:lumMod val="50000"/>
          </a:schemeClr>
        </a:solidFill>
        <a:ln>
          <a:solidFill>
            <a:schemeClr val="bg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ANÁLISES</a:t>
          </a:r>
        </a:p>
      </xdr:txBody>
    </xdr:sp>
    <xdr:clientData/>
  </xdr:twoCellAnchor>
  <xdr:twoCellAnchor editAs="absolute">
    <xdr:from>
      <xdr:col>3</xdr:col>
      <xdr:colOff>443968</xdr:colOff>
      <xdr:row>0</xdr:row>
      <xdr:rowOff>51148</xdr:rowOff>
    </xdr:from>
    <xdr:to>
      <xdr:col>4</xdr:col>
      <xdr:colOff>336595</xdr:colOff>
      <xdr:row>0</xdr:row>
      <xdr:rowOff>555973</xdr:rowOff>
    </xdr:to>
    <xdr:sp macro="" textlink="">
      <xdr:nvSpPr>
        <xdr:cNvPr id="15" name="Retângulo Arredondado 14">
          <a:hlinkClick xmlns:r="http://schemas.openxmlformats.org/officeDocument/2006/relationships" r:id="rId2"/>
        </xdr:cNvPr>
        <xdr:cNvSpPr/>
      </xdr:nvSpPr>
      <xdr:spPr>
        <a:xfrm>
          <a:off x="5607175" y="51148"/>
          <a:ext cx="1548006" cy="504825"/>
        </a:xfrm>
        <a:prstGeom prst="roundRect">
          <a:avLst>
            <a:gd name="adj" fmla="val 18868"/>
          </a:avLst>
        </a:prstGeom>
        <a:solidFill>
          <a:schemeClr val="accent5">
            <a:lumMod val="50000"/>
          </a:schemeClr>
        </a:solidFill>
        <a:ln>
          <a:solidFill>
            <a:schemeClr val="bg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CONTAS A RECEBER</a:t>
          </a:r>
        </a:p>
      </xdr:txBody>
    </xdr:sp>
    <xdr:clientData/>
  </xdr:twoCellAnchor>
  <xdr:twoCellAnchor editAs="absolute">
    <xdr:from>
      <xdr:col>2</xdr:col>
      <xdr:colOff>301785</xdr:colOff>
      <xdr:row>0</xdr:row>
      <xdr:rowOff>38667</xdr:rowOff>
    </xdr:from>
    <xdr:to>
      <xdr:col>2</xdr:col>
      <xdr:colOff>1856958</xdr:colOff>
      <xdr:row>0</xdr:row>
      <xdr:rowOff>543492</xdr:rowOff>
    </xdr:to>
    <xdr:sp macro="" textlink="">
      <xdr:nvSpPr>
        <xdr:cNvPr id="16" name="Retângulo Arredondado 15">
          <a:hlinkClick xmlns:r="http://schemas.openxmlformats.org/officeDocument/2006/relationships" r:id="rId3"/>
        </xdr:cNvPr>
        <xdr:cNvSpPr/>
      </xdr:nvSpPr>
      <xdr:spPr>
        <a:xfrm>
          <a:off x="3586268" y="38667"/>
          <a:ext cx="1555173" cy="504825"/>
        </a:xfrm>
        <a:prstGeom prst="roundRect">
          <a:avLst>
            <a:gd name="adj" fmla="val 18868"/>
          </a:avLst>
        </a:prstGeom>
        <a:solidFill>
          <a:schemeClr val="bg1"/>
        </a:solidFill>
        <a:ln>
          <a:solidFill>
            <a:schemeClr val="bg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accent5">
                  <a:lumMod val="50000"/>
                </a:schemeClr>
              </a:solidFill>
            </a:rPr>
            <a:t>CONTAS A PAGAR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712644</xdr:colOff>
      <xdr:row>0</xdr:row>
      <xdr:rowOff>47625</xdr:rowOff>
    </xdr:from>
    <xdr:to>
      <xdr:col>3</xdr:col>
      <xdr:colOff>397454</xdr:colOff>
      <xdr:row>0</xdr:row>
      <xdr:rowOff>552450</xdr:rowOff>
    </xdr:to>
    <xdr:sp macro="" textlink=""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4003099" y="47625"/>
          <a:ext cx="1555173" cy="504825"/>
        </a:xfrm>
        <a:prstGeom prst="roundRect">
          <a:avLst>
            <a:gd name="adj" fmla="val 18868"/>
          </a:avLst>
        </a:prstGeom>
        <a:solidFill>
          <a:schemeClr val="accent5">
            <a:lumMod val="50000"/>
          </a:schemeClr>
        </a:solidFill>
        <a:ln>
          <a:solidFill>
            <a:schemeClr val="bg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CONTAS A PAGAR</a:t>
          </a:r>
        </a:p>
      </xdr:txBody>
    </xdr:sp>
    <xdr:clientData/>
  </xdr:twoCellAnchor>
  <xdr:twoCellAnchor editAs="absolute">
    <xdr:from>
      <xdr:col>3</xdr:col>
      <xdr:colOff>811358</xdr:colOff>
      <xdr:row>0</xdr:row>
      <xdr:rowOff>49356</xdr:rowOff>
    </xdr:from>
    <xdr:to>
      <xdr:col>4</xdr:col>
      <xdr:colOff>703985</xdr:colOff>
      <xdr:row>0</xdr:row>
      <xdr:rowOff>554181</xdr:rowOff>
    </xdr:to>
    <xdr:sp macro="" textlink=""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5972176" y="49356"/>
          <a:ext cx="1555173" cy="504825"/>
        </a:xfrm>
        <a:prstGeom prst="roundRect">
          <a:avLst>
            <a:gd name="adj" fmla="val 18868"/>
          </a:avLst>
        </a:prstGeom>
        <a:solidFill>
          <a:schemeClr val="bg1"/>
        </a:solidFill>
        <a:ln>
          <a:solidFill>
            <a:schemeClr val="bg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solidFill>
                <a:schemeClr val="accent5">
                  <a:lumMod val="50000"/>
                </a:schemeClr>
              </a:solidFill>
            </a:rPr>
            <a:t>CONTAS A RECEBER</a:t>
          </a:r>
        </a:p>
      </xdr:txBody>
    </xdr:sp>
    <xdr:clientData/>
  </xdr:twoCellAnchor>
  <xdr:twoCellAnchor editAs="absolute">
    <xdr:from>
      <xdr:col>4</xdr:col>
      <xdr:colOff>1206211</xdr:colOff>
      <xdr:row>0</xdr:row>
      <xdr:rowOff>45893</xdr:rowOff>
    </xdr:from>
    <xdr:to>
      <xdr:col>5</xdr:col>
      <xdr:colOff>631248</xdr:colOff>
      <xdr:row>0</xdr:row>
      <xdr:rowOff>550718</xdr:rowOff>
    </xdr:to>
    <xdr:sp macro="" textlink="">
      <xdr:nvSpPr>
        <xdr:cNvPr id="4" name="Retângulo Arredondado 3">
          <a:hlinkClick xmlns:r="http://schemas.openxmlformats.org/officeDocument/2006/relationships" r:id="rId3"/>
        </xdr:cNvPr>
        <xdr:cNvSpPr/>
      </xdr:nvSpPr>
      <xdr:spPr>
        <a:xfrm>
          <a:off x="8029575" y="45893"/>
          <a:ext cx="1555173" cy="504825"/>
        </a:xfrm>
        <a:prstGeom prst="roundRect">
          <a:avLst>
            <a:gd name="adj" fmla="val 18868"/>
          </a:avLst>
        </a:prstGeom>
        <a:solidFill>
          <a:schemeClr val="accent5">
            <a:lumMod val="50000"/>
          </a:schemeClr>
        </a:solidFill>
        <a:ln>
          <a:solidFill>
            <a:schemeClr val="bg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/>
            <a:t>ANÁLISES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522144</xdr:colOff>
      <xdr:row>0</xdr:row>
      <xdr:rowOff>64943</xdr:rowOff>
    </xdr:from>
    <xdr:to>
      <xdr:col>8</xdr:col>
      <xdr:colOff>258908</xdr:colOff>
      <xdr:row>0</xdr:row>
      <xdr:rowOff>569768</xdr:rowOff>
    </xdr:to>
    <xdr:sp macro="" textlink="">
      <xdr:nvSpPr>
        <xdr:cNvPr id="2" name="Retângulo Arredondado 1">
          <a:hlinkClick xmlns:r="http://schemas.openxmlformats.org/officeDocument/2006/relationships" r:id="rId1"/>
        </xdr:cNvPr>
        <xdr:cNvSpPr/>
      </xdr:nvSpPr>
      <xdr:spPr>
        <a:xfrm>
          <a:off x="3552826" y="64943"/>
          <a:ext cx="1555173" cy="504825"/>
        </a:xfrm>
        <a:prstGeom prst="roundRect">
          <a:avLst>
            <a:gd name="adj" fmla="val 18868"/>
          </a:avLst>
        </a:prstGeom>
        <a:solidFill>
          <a:schemeClr val="accent5">
            <a:lumMod val="50000"/>
          </a:schemeClr>
        </a:solidFill>
        <a:ln>
          <a:solidFill>
            <a:schemeClr val="bg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CONTAS A PAGAR</a:t>
          </a:r>
        </a:p>
      </xdr:txBody>
    </xdr:sp>
    <xdr:clientData/>
  </xdr:twoCellAnchor>
  <xdr:twoCellAnchor editAs="absolute">
    <xdr:from>
      <xdr:col>9</xdr:col>
      <xdr:colOff>101313</xdr:colOff>
      <xdr:row>0</xdr:row>
      <xdr:rowOff>49357</xdr:rowOff>
    </xdr:from>
    <xdr:to>
      <xdr:col>11</xdr:col>
      <xdr:colOff>444213</xdr:colOff>
      <xdr:row>0</xdr:row>
      <xdr:rowOff>554182</xdr:rowOff>
    </xdr:to>
    <xdr:sp macro="" textlink="">
      <xdr:nvSpPr>
        <xdr:cNvPr id="3" name="Retângulo Arredondado 2">
          <a:hlinkClick xmlns:r="http://schemas.openxmlformats.org/officeDocument/2006/relationships" r:id="rId2"/>
        </xdr:cNvPr>
        <xdr:cNvSpPr/>
      </xdr:nvSpPr>
      <xdr:spPr>
        <a:xfrm>
          <a:off x="5556540" y="49357"/>
          <a:ext cx="1555173" cy="504825"/>
        </a:xfrm>
        <a:prstGeom prst="roundRect">
          <a:avLst>
            <a:gd name="adj" fmla="val 18868"/>
          </a:avLst>
        </a:prstGeom>
        <a:solidFill>
          <a:schemeClr val="accent5">
            <a:lumMod val="50000"/>
          </a:schemeClr>
        </a:solidFill>
        <a:ln>
          <a:solidFill>
            <a:schemeClr val="bg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/>
            <a:t>CONTAS A RECEBER</a:t>
          </a:r>
        </a:p>
      </xdr:txBody>
    </xdr:sp>
    <xdr:clientData/>
  </xdr:twoCellAnchor>
  <xdr:twoCellAnchor editAs="absolute">
    <xdr:from>
      <xdr:col>12</xdr:col>
      <xdr:colOff>357621</xdr:colOff>
      <xdr:row>0</xdr:row>
      <xdr:rowOff>45893</xdr:rowOff>
    </xdr:from>
    <xdr:to>
      <xdr:col>15</xdr:col>
      <xdr:colOff>94385</xdr:colOff>
      <xdr:row>0</xdr:row>
      <xdr:rowOff>550718</xdr:rowOff>
    </xdr:to>
    <xdr:sp macro="" textlink="">
      <xdr:nvSpPr>
        <xdr:cNvPr id="4" name="Retângulo Arredondado 3">
          <a:hlinkClick xmlns:r="http://schemas.openxmlformats.org/officeDocument/2006/relationships" r:id="rId3"/>
        </xdr:cNvPr>
        <xdr:cNvSpPr/>
      </xdr:nvSpPr>
      <xdr:spPr>
        <a:xfrm>
          <a:off x="7631257" y="45893"/>
          <a:ext cx="1555173" cy="504825"/>
        </a:xfrm>
        <a:prstGeom prst="roundRect">
          <a:avLst>
            <a:gd name="adj" fmla="val 18868"/>
          </a:avLst>
        </a:prstGeom>
        <a:solidFill>
          <a:schemeClr val="bg1"/>
        </a:solidFill>
        <a:ln>
          <a:solidFill>
            <a:schemeClr val="bg1"/>
          </a:solidFill>
        </a:ln>
        <a:effectLst>
          <a:glow rad="101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accent5">
                  <a:lumMod val="50000"/>
                </a:schemeClr>
              </a:solidFill>
            </a:rPr>
            <a:t>ANÁLISES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B4:I31" headerRowDxfId="37" dataDxfId="36">
  <autoFilter ref="B4:I31"/>
  <tableColumns count="8">
    <tableColumn id="1" name="DATA DE VENCIMENTO" totalsRowLabel="Total" dataDxfId="35" totalsRowDxfId="17">
      <calculatedColumnFormula>TODAY()</calculatedColumnFormula>
    </tableColumn>
    <tableColumn id="2" name="FORNECEDOR" dataDxfId="34" totalsRowDxfId="18"/>
    <tableColumn id="3" name="DESCRIÇÃO" dataDxfId="30" totalsRowDxfId="19"/>
    <tableColumn id="4" name="VALOR A PAGAR" dataDxfId="28" totalsRowDxfId="20" dataCellStyle="Moeda"/>
    <tableColumn id="5" name="STATUS" dataDxfId="29" totalsRowDxfId="21">
      <calculatedColumnFormula>IF(G5&lt;&gt;"","PAGO",IF(B5&lt;TODAY(),"ATRASADO","PENDENTE"))</calculatedColumnFormula>
    </tableColumn>
    <tableColumn id="6" name="DATA DE PAGAMENTO" dataDxfId="33" totalsRowDxfId="22">
      <calculatedColumnFormula>TODAY()</calculatedColumnFormula>
    </tableColumn>
    <tableColumn id="7" name="TIPO DE PAGAMENTO" dataDxfId="32" totalsRowDxfId="23"/>
    <tableColumn id="8" name="CENTRO DE CUSTO" totalsRowFunction="count" dataDxfId="31" totalsRow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ela4" displayName="Tabela4" ref="B3:I28" totalsRowShown="0" headerRowDxfId="10" dataDxfId="0" tableBorderDxfId="9">
  <autoFilter ref="B3:I28"/>
  <tableColumns count="8">
    <tableColumn id="1" name="DATA DE VENCIMENTO" dataDxfId="8"/>
    <tableColumn id="2" name="CLIENTE" dataDxfId="7"/>
    <tableColumn id="3" name="DESCRIÇÃO" dataDxfId="6"/>
    <tableColumn id="4" name="VALOR A PAGAR" dataDxfId="5"/>
    <tableColumn id="5" name="STATUS" dataDxfId="4"/>
    <tableColumn id="6" name="DATA DE PAGAMENTO" dataDxfId="3">
      <calculatedColumnFormula>TODAY()</calculatedColumnFormula>
    </tableColumn>
    <tableColumn id="7" name="TIPO DE PAGAMENTO" dataDxfId="2"/>
    <tableColumn id="8" name="CENTRO DE CUSTO" dataDxfId="1"/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Normal="100" workbookViewId="0">
      <selection activeCell="B15" sqref="B15"/>
    </sheetView>
  </sheetViews>
  <sheetFormatPr defaultRowHeight="15" x14ac:dyDescent="0.25"/>
  <cols>
    <col min="2" max="2" width="40.140625" bestFit="1" customWidth="1"/>
    <col min="3" max="3" width="28.140625" bestFit="1" customWidth="1"/>
    <col min="4" max="4" width="24.85546875" bestFit="1" customWidth="1"/>
    <col min="5" max="5" width="31.85546875" style="6" bestFit="1" customWidth="1"/>
    <col min="6" max="6" width="20.42578125" bestFit="1" customWidth="1"/>
    <col min="7" max="7" width="39.42578125" bestFit="1" customWidth="1"/>
    <col min="8" max="8" width="30.42578125" customWidth="1"/>
    <col min="9" max="9" width="27.5703125" customWidth="1"/>
  </cols>
  <sheetData>
    <row r="1" spans="1:9" s="2" customFormat="1" ht="47.25" customHeight="1" x14ac:dyDescent="0.7">
      <c r="A1" s="1" t="s">
        <v>1</v>
      </c>
      <c r="E1" s="7"/>
    </row>
    <row r="4" spans="1:9" x14ac:dyDescent="0.25">
      <c r="B4" s="3" t="s">
        <v>3</v>
      </c>
      <c r="C4" s="3" t="s">
        <v>4</v>
      </c>
      <c r="D4" s="3" t="s">
        <v>5</v>
      </c>
      <c r="E4" s="8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B5" s="4">
        <f ca="1">TODAY()</f>
        <v>46222</v>
      </c>
      <c r="C5" s="3"/>
      <c r="D5" s="3"/>
      <c r="F5" s="3" t="str">
        <f ca="1">IF(G5&lt;&gt;"","PAGO",IF(B5&lt;TODAY(),"ATRASADO","PENDENTE"))</f>
        <v>PAGO</v>
      </c>
      <c r="G5" s="4">
        <f ca="1">TODAY()</f>
        <v>46222</v>
      </c>
      <c r="H5" s="3"/>
      <c r="I5" s="3"/>
    </row>
    <row r="6" spans="1:9" x14ac:dyDescent="0.25">
      <c r="B6" s="4">
        <v>46220</v>
      </c>
      <c r="C6" s="5" t="s">
        <v>12</v>
      </c>
      <c r="D6" s="5" t="s">
        <v>13</v>
      </c>
      <c r="E6" s="6">
        <v>217311</v>
      </c>
      <c r="F6" s="5" t="s">
        <v>14</v>
      </c>
      <c r="G6" s="4">
        <v>46216</v>
      </c>
      <c r="H6" s="5" t="s">
        <v>15</v>
      </c>
      <c r="I6" s="5" t="s">
        <v>16</v>
      </c>
    </row>
    <row r="7" spans="1:9" x14ac:dyDescent="0.25">
      <c r="B7" s="4">
        <v>46208</v>
      </c>
      <c r="C7" s="5" t="s">
        <v>17</v>
      </c>
      <c r="D7" s="5" t="s">
        <v>18</v>
      </c>
      <c r="E7" s="6">
        <v>452135</v>
      </c>
      <c r="F7" s="5" t="s">
        <v>19</v>
      </c>
      <c r="G7" s="4">
        <f ca="1">TODAY()</f>
        <v>46222</v>
      </c>
      <c r="H7" s="5"/>
      <c r="I7" s="5" t="s">
        <v>20</v>
      </c>
    </row>
    <row r="8" spans="1:9" x14ac:dyDescent="0.25">
      <c r="B8" s="4">
        <v>46217</v>
      </c>
      <c r="C8" s="5" t="s">
        <v>21</v>
      </c>
      <c r="D8" s="5" t="s">
        <v>22</v>
      </c>
      <c r="E8" s="6">
        <v>155331</v>
      </c>
      <c r="F8" s="5" t="s">
        <v>14</v>
      </c>
      <c r="G8" s="4">
        <v>46218</v>
      </c>
      <c r="H8" s="5" t="s">
        <v>23</v>
      </c>
      <c r="I8" s="5" t="s">
        <v>24</v>
      </c>
    </row>
    <row r="9" spans="1:9" x14ac:dyDescent="0.25">
      <c r="B9" s="4">
        <v>46171</v>
      </c>
      <c r="C9" s="5" t="s">
        <v>25</v>
      </c>
      <c r="D9" s="5" t="s">
        <v>26</v>
      </c>
      <c r="E9" s="6">
        <v>65169</v>
      </c>
      <c r="F9" s="5" t="s">
        <v>19</v>
      </c>
      <c r="G9" s="4">
        <f t="shared" ref="G9:G11" ca="1" si="0">TODAY()</f>
        <v>46222</v>
      </c>
      <c r="H9" s="5"/>
      <c r="I9" s="5" t="s">
        <v>16</v>
      </c>
    </row>
    <row r="10" spans="1:9" x14ac:dyDescent="0.25">
      <c r="B10" s="4">
        <v>46234</v>
      </c>
      <c r="C10" s="5" t="s">
        <v>27</v>
      </c>
      <c r="D10" s="5" t="s">
        <v>28</v>
      </c>
      <c r="E10" s="6">
        <v>190566</v>
      </c>
      <c r="F10" s="5" t="s">
        <v>19</v>
      </c>
      <c r="G10" s="4">
        <f t="shared" ca="1" si="0"/>
        <v>46222</v>
      </c>
      <c r="H10" s="5"/>
      <c r="I10" s="5" t="s">
        <v>29</v>
      </c>
    </row>
    <row r="11" spans="1:9" x14ac:dyDescent="0.25">
      <c r="B11" s="4">
        <v>46182</v>
      </c>
      <c r="C11" s="5" t="s">
        <v>30</v>
      </c>
      <c r="D11" s="5" t="s">
        <v>31</v>
      </c>
      <c r="E11" s="6">
        <v>269948</v>
      </c>
      <c r="F11" s="5" t="s">
        <v>19</v>
      </c>
      <c r="G11" s="4">
        <f t="shared" ca="1" si="0"/>
        <v>46222</v>
      </c>
      <c r="H11" s="5"/>
      <c r="I11" s="5" t="s">
        <v>16</v>
      </c>
    </row>
    <row r="12" spans="1:9" x14ac:dyDescent="0.25">
      <c r="B12" s="4">
        <v>46240</v>
      </c>
      <c r="C12" s="5" t="s">
        <v>25</v>
      </c>
      <c r="D12" s="5" t="s">
        <v>32</v>
      </c>
      <c r="E12" s="6">
        <v>498749</v>
      </c>
      <c r="F12" s="5" t="s">
        <v>14</v>
      </c>
      <c r="G12" s="4">
        <v>46235</v>
      </c>
      <c r="H12" s="5" t="s">
        <v>23</v>
      </c>
      <c r="I12" s="5" t="s">
        <v>33</v>
      </c>
    </row>
    <row r="13" spans="1:9" x14ac:dyDescent="0.25">
      <c r="B13" s="4">
        <v>46261</v>
      </c>
      <c r="C13" s="5" t="s">
        <v>30</v>
      </c>
      <c r="D13" s="5" t="s">
        <v>28</v>
      </c>
      <c r="E13" s="6">
        <v>316793</v>
      </c>
      <c r="F13" s="5" t="s">
        <v>14</v>
      </c>
      <c r="G13" s="4">
        <v>46261</v>
      </c>
      <c r="H13" s="5" t="s">
        <v>34</v>
      </c>
      <c r="I13" s="5" t="s">
        <v>20</v>
      </c>
    </row>
    <row r="14" spans="1:9" x14ac:dyDescent="0.25">
      <c r="B14" s="4">
        <v>46173</v>
      </c>
      <c r="C14" s="5" t="s">
        <v>35</v>
      </c>
      <c r="D14" s="5" t="s">
        <v>13</v>
      </c>
      <c r="E14" s="6">
        <v>249298</v>
      </c>
      <c r="F14" s="5" t="s">
        <v>14</v>
      </c>
      <c r="G14" s="4">
        <v>46174</v>
      </c>
      <c r="H14" s="5" t="s">
        <v>15</v>
      </c>
      <c r="I14" s="5" t="s">
        <v>16</v>
      </c>
    </row>
    <row r="15" spans="1:9" x14ac:dyDescent="0.25">
      <c r="B15" s="4">
        <v>46212</v>
      </c>
      <c r="C15" s="5" t="s">
        <v>17</v>
      </c>
      <c r="D15" s="5" t="s">
        <v>36</v>
      </c>
      <c r="E15" s="6">
        <v>331687</v>
      </c>
      <c r="F15" s="5" t="s">
        <v>14</v>
      </c>
      <c r="G15" s="4">
        <v>46208</v>
      </c>
      <c r="H15" s="5" t="s">
        <v>37</v>
      </c>
      <c r="I15" s="5" t="s">
        <v>38</v>
      </c>
    </row>
    <row r="16" spans="1:9" x14ac:dyDescent="0.25">
      <c r="B16" s="4">
        <v>46192</v>
      </c>
      <c r="C16" s="5" t="s">
        <v>17</v>
      </c>
      <c r="D16" s="5" t="s">
        <v>13</v>
      </c>
      <c r="E16" s="6">
        <v>128638</v>
      </c>
      <c r="F16" s="5" t="s">
        <v>19</v>
      </c>
      <c r="G16" s="4">
        <f t="shared" ref="G16:G17" ca="1" si="1">TODAY()</f>
        <v>46222</v>
      </c>
      <c r="H16" s="5"/>
      <c r="I16" s="5" t="s">
        <v>24</v>
      </c>
    </row>
    <row r="17" spans="2:9" x14ac:dyDescent="0.25">
      <c r="B17" s="4">
        <v>46220</v>
      </c>
      <c r="C17" s="5" t="s">
        <v>17</v>
      </c>
      <c r="D17" s="5" t="s">
        <v>26</v>
      </c>
      <c r="E17" s="6">
        <v>256332</v>
      </c>
      <c r="F17" s="5" t="s">
        <v>19</v>
      </c>
      <c r="G17" s="4">
        <f t="shared" ca="1" si="1"/>
        <v>46222</v>
      </c>
      <c r="H17" s="5"/>
      <c r="I17" s="5" t="s">
        <v>38</v>
      </c>
    </row>
    <row r="18" spans="2:9" x14ac:dyDescent="0.25">
      <c r="B18" s="4">
        <v>46211</v>
      </c>
      <c r="C18" s="5" t="s">
        <v>25</v>
      </c>
      <c r="D18" s="5" t="s">
        <v>39</v>
      </c>
      <c r="E18" s="6">
        <v>407113</v>
      </c>
      <c r="F18" s="5" t="s">
        <v>14</v>
      </c>
      <c r="G18" s="4">
        <v>46206</v>
      </c>
      <c r="H18" s="5" t="s">
        <v>34</v>
      </c>
      <c r="I18" s="5" t="s">
        <v>38</v>
      </c>
    </row>
    <row r="19" spans="2:9" x14ac:dyDescent="0.25">
      <c r="B19" s="4">
        <v>46202</v>
      </c>
      <c r="C19" s="5" t="s">
        <v>35</v>
      </c>
      <c r="D19" s="5" t="s">
        <v>39</v>
      </c>
      <c r="E19" s="6">
        <v>474394</v>
      </c>
      <c r="F19" s="5" t="s">
        <v>14</v>
      </c>
      <c r="G19" s="4">
        <v>46199</v>
      </c>
      <c r="H19" s="5" t="s">
        <v>34</v>
      </c>
      <c r="I19" s="5" t="s">
        <v>20</v>
      </c>
    </row>
    <row r="20" spans="2:9" x14ac:dyDescent="0.25">
      <c r="B20" s="4">
        <v>46232</v>
      </c>
      <c r="C20" s="5" t="s">
        <v>27</v>
      </c>
      <c r="D20" s="5" t="s">
        <v>22</v>
      </c>
      <c r="E20" s="6">
        <v>35608</v>
      </c>
      <c r="F20" s="5" t="s">
        <v>14</v>
      </c>
      <c r="G20" s="4">
        <v>46232</v>
      </c>
      <c r="H20" s="5" t="s">
        <v>37</v>
      </c>
      <c r="I20" s="5" t="s">
        <v>40</v>
      </c>
    </row>
    <row r="21" spans="2:9" x14ac:dyDescent="0.25">
      <c r="B21" s="4">
        <v>46178</v>
      </c>
      <c r="C21" s="5" t="s">
        <v>27</v>
      </c>
      <c r="D21" s="5" t="s">
        <v>28</v>
      </c>
      <c r="E21" s="6">
        <v>457593</v>
      </c>
      <c r="F21" s="5" t="s">
        <v>14</v>
      </c>
      <c r="G21" s="4">
        <v>46173</v>
      </c>
      <c r="H21" s="5" t="s">
        <v>15</v>
      </c>
      <c r="I21" s="5" t="s">
        <v>16</v>
      </c>
    </row>
    <row r="22" spans="2:9" x14ac:dyDescent="0.25">
      <c r="B22" s="4">
        <v>46264</v>
      </c>
      <c r="C22" s="5" t="s">
        <v>41</v>
      </c>
      <c r="D22" s="5" t="s">
        <v>42</v>
      </c>
      <c r="E22" s="6">
        <v>306694</v>
      </c>
      <c r="F22" s="5" t="s">
        <v>19</v>
      </c>
      <c r="G22" s="4">
        <f t="shared" ref="G22:G24" ca="1" si="2">TODAY()</f>
        <v>46222</v>
      </c>
      <c r="H22" s="5"/>
      <c r="I22" s="5" t="s">
        <v>16</v>
      </c>
    </row>
    <row r="23" spans="2:9" x14ac:dyDescent="0.25">
      <c r="B23" s="4">
        <v>46211</v>
      </c>
      <c r="C23" s="5" t="s">
        <v>12</v>
      </c>
      <c r="D23" s="5" t="s">
        <v>22</v>
      </c>
      <c r="E23" s="6">
        <v>479918</v>
      </c>
      <c r="F23" s="5" t="s">
        <v>19</v>
      </c>
      <c r="G23" s="4">
        <f t="shared" ca="1" si="2"/>
        <v>46222</v>
      </c>
      <c r="H23" s="5"/>
      <c r="I23" s="5" t="s">
        <v>38</v>
      </c>
    </row>
    <row r="24" spans="2:9" x14ac:dyDescent="0.25">
      <c r="B24" s="4">
        <v>46248</v>
      </c>
      <c r="C24" s="5" t="s">
        <v>35</v>
      </c>
      <c r="D24" s="5" t="s">
        <v>31</v>
      </c>
      <c r="E24" s="6">
        <v>357209</v>
      </c>
      <c r="F24" s="5" t="s">
        <v>19</v>
      </c>
      <c r="G24" s="4">
        <f t="shared" ca="1" si="2"/>
        <v>46222</v>
      </c>
      <c r="H24" s="5"/>
      <c r="I24" s="5" t="s">
        <v>24</v>
      </c>
    </row>
    <row r="25" spans="2:9" x14ac:dyDescent="0.25">
      <c r="B25" s="4">
        <v>46260</v>
      </c>
      <c r="C25" s="5" t="s">
        <v>17</v>
      </c>
      <c r="D25" s="5" t="s">
        <v>22</v>
      </c>
      <c r="E25" s="6">
        <v>227667</v>
      </c>
      <c r="F25" s="5" t="s">
        <v>14</v>
      </c>
      <c r="G25" s="4">
        <v>46258</v>
      </c>
      <c r="H25" s="5" t="s">
        <v>34</v>
      </c>
      <c r="I25" s="5" t="s">
        <v>40</v>
      </c>
    </row>
    <row r="26" spans="2:9" x14ac:dyDescent="0.25">
      <c r="B26" s="4">
        <v>46252</v>
      </c>
      <c r="C26" s="5" t="s">
        <v>12</v>
      </c>
      <c r="D26" s="5" t="s">
        <v>22</v>
      </c>
      <c r="E26" s="6">
        <v>276131</v>
      </c>
      <c r="F26" s="5" t="s">
        <v>14</v>
      </c>
      <c r="G26" s="4">
        <v>46254</v>
      </c>
      <c r="H26" s="5" t="s">
        <v>15</v>
      </c>
      <c r="I26" s="5" t="s">
        <v>20</v>
      </c>
    </row>
    <row r="27" spans="2:9" x14ac:dyDescent="0.25">
      <c r="B27" s="4">
        <v>46248</v>
      </c>
      <c r="C27" s="5" t="s">
        <v>17</v>
      </c>
      <c r="D27" s="5" t="s">
        <v>42</v>
      </c>
      <c r="E27" s="6">
        <v>486368</v>
      </c>
      <c r="F27" s="5" t="s">
        <v>14</v>
      </c>
      <c r="G27" s="4">
        <v>46244</v>
      </c>
      <c r="H27" s="5" t="s">
        <v>23</v>
      </c>
      <c r="I27" s="5" t="s">
        <v>16</v>
      </c>
    </row>
    <row r="28" spans="2:9" x14ac:dyDescent="0.25">
      <c r="B28" s="4">
        <v>46199</v>
      </c>
      <c r="C28" s="5" t="s">
        <v>43</v>
      </c>
      <c r="D28" s="5" t="s">
        <v>18</v>
      </c>
      <c r="E28" s="6">
        <v>497059</v>
      </c>
      <c r="F28" s="5" t="s">
        <v>19</v>
      </c>
      <c r="G28" s="4">
        <f ca="1">TODAY()</f>
        <v>46222</v>
      </c>
      <c r="H28" s="5"/>
      <c r="I28" s="5" t="s">
        <v>29</v>
      </c>
    </row>
    <row r="29" spans="2:9" x14ac:dyDescent="0.25">
      <c r="B29" s="4">
        <v>46251</v>
      </c>
      <c r="C29" s="5" t="s">
        <v>43</v>
      </c>
      <c r="D29" s="5" t="s">
        <v>31</v>
      </c>
      <c r="E29" s="6">
        <v>472564</v>
      </c>
      <c r="F29" s="5" t="s">
        <v>14</v>
      </c>
      <c r="G29" s="4">
        <v>46250</v>
      </c>
      <c r="H29" s="5" t="s">
        <v>15</v>
      </c>
      <c r="I29" s="5" t="s">
        <v>40</v>
      </c>
    </row>
    <row r="30" spans="2:9" x14ac:dyDescent="0.25">
      <c r="B30" s="4">
        <v>46183</v>
      </c>
      <c r="C30" s="5" t="s">
        <v>21</v>
      </c>
      <c r="D30" s="5" t="s">
        <v>36</v>
      </c>
      <c r="E30" s="6">
        <v>290965</v>
      </c>
      <c r="F30" s="5" t="s">
        <v>19</v>
      </c>
      <c r="G30" s="4">
        <f t="shared" ref="G30:G31" ca="1" si="3">TODAY()</f>
        <v>46222</v>
      </c>
      <c r="H30" s="5"/>
      <c r="I30" s="5" t="s">
        <v>33</v>
      </c>
    </row>
    <row r="31" spans="2:9" x14ac:dyDescent="0.25">
      <c r="B31" s="4">
        <v>46220</v>
      </c>
      <c r="C31" s="5" t="s">
        <v>35</v>
      </c>
      <c r="D31" s="5" t="s">
        <v>39</v>
      </c>
      <c r="E31" s="6">
        <v>393238</v>
      </c>
      <c r="F31" s="5" t="s">
        <v>19</v>
      </c>
      <c r="G31" s="4">
        <f t="shared" ca="1" si="3"/>
        <v>46222</v>
      </c>
      <c r="H31" s="5"/>
      <c r="I31" s="5" t="s">
        <v>16</v>
      </c>
    </row>
  </sheetData>
  <conditionalFormatting sqref="F5:F31">
    <cfRule type="cellIs" dxfId="16" priority="1" operator="equal">
      <formula>"PAGO"</formula>
    </cfRule>
    <cfRule type="cellIs" dxfId="15" priority="2" operator="equal">
      <formula>"PENDENTE"</formula>
    </cfRule>
    <cfRule type="cellIs" dxfId="14" priority="3" operator="equal">
      <formula>"ATRASADO"</formula>
    </cfRule>
  </conditionalFormatting>
  <dataValidations count="1">
    <dataValidation type="list" allowBlank="1" showInputMessage="1" showErrorMessage="1" sqref="H5:H31">
      <formula1>"BOLETO,TRANSFERENCIA,PIX,DEBITO,CREDITO,DINHEIRO"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zoomScale="70" zoomScaleNormal="70" workbookViewId="0">
      <selection activeCell="G17" sqref="G17"/>
    </sheetView>
  </sheetViews>
  <sheetFormatPr defaultRowHeight="15" x14ac:dyDescent="0.25"/>
  <cols>
    <col min="2" max="2" width="40.140625" bestFit="1" customWidth="1"/>
    <col min="3" max="3" width="28.140625" bestFit="1" customWidth="1"/>
    <col min="4" max="4" width="24.85546875" bestFit="1" customWidth="1"/>
    <col min="5" max="5" width="31.85546875" bestFit="1" customWidth="1"/>
    <col min="6" max="6" width="20.42578125" bestFit="1" customWidth="1"/>
    <col min="7" max="7" width="39.42578125" bestFit="1" customWidth="1"/>
    <col min="8" max="8" width="38" bestFit="1" customWidth="1"/>
    <col min="9" max="9" width="35" bestFit="1" customWidth="1"/>
  </cols>
  <sheetData>
    <row r="1" spans="1:9" s="2" customFormat="1" ht="47.25" customHeight="1" x14ac:dyDescent="0.7">
      <c r="A1" s="1" t="s">
        <v>0</v>
      </c>
    </row>
    <row r="3" spans="1:9" ht="15.75" thickBot="1" x14ac:dyDescent="0.3">
      <c r="B3" s="9" t="s">
        <v>3</v>
      </c>
      <c r="C3" s="10" t="s">
        <v>11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</row>
    <row r="4" spans="1:9" x14ac:dyDescent="0.25">
      <c r="B4" s="11">
        <f ca="1">TODAY()</f>
        <v>46222</v>
      </c>
      <c r="C4" s="12"/>
      <c r="D4" s="12"/>
      <c r="E4" s="12"/>
      <c r="F4" s="12" t="str">
        <f ca="1">IF(G4&lt;&gt;"","PAGO",IF(B4&lt;TODAY(),"ATRASADO","PENDENTE"))</f>
        <v>PAGO</v>
      </c>
      <c r="G4" s="13">
        <f ca="1">TODAY()</f>
        <v>46222</v>
      </c>
      <c r="H4" s="12"/>
      <c r="I4" s="12"/>
    </row>
    <row r="5" spans="1:9" x14ac:dyDescent="0.25">
      <c r="B5" s="14">
        <v>46281</v>
      </c>
      <c r="C5" s="15" t="s">
        <v>44</v>
      </c>
      <c r="D5" s="15" t="s">
        <v>45</v>
      </c>
      <c r="E5" s="15">
        <v>99157</v>
      </c>
      <c r="F5" s="15" t="s">
        <v>19</v>
      </c>
      <c r="G5" s="16">
        <f ca="1">TODAY()</f>
        <v>46222</v>
      </c>
      <c r="H5" s="15"/>
      <c r="I5" s="15" t="s">
        <v>40</v>
      </c>
    </row>
    <row r="6" spans="1:9" x14ac:dyDescent="0.25">
      <c r="B6" s="14">
        <v>46257</v>
      </c>
      <c r="C6" s="15" t="s">
        <v>46</v>
      </c>
      <c r="D6" s="15" t="s">
        <v>47</v>
      </c>
      <c r="E6" s="15">
        <v>1137025</v>
      </c>
      <c r="F6" s="15" t="s">
        <v>14</v>
      </c>
      <c r="G6" s="16">
        <v>46255</v>
      </c>
      <c r="H6" s="15" t="s">
        <v>23</v>
      </c>
      <c r="I6" s="15" t="s">
        <v>38</v>
      </c>
    </row>
    <row r="7" spans="1:9" x14ac:dyDescent="0.25">
      <c r="B7" s="14">
        <v>46169</v>
      </c>
      <c r="C7" s="15" t="s">
        <v>48</v>
      </c>
      <c r="D7" s="15" t="s">
        <v>49</v>
      </c>
      <c r="E7" s="15">
        <v>1001343</v>
      </c>
      <c r="F7" s="15" t="s">
        <v>14</v>
      </c>
      <c r="G7" s="16">
        <v>46167</v>
      </c>
      <c r="H7" s="15" t="s">
        <v>34</v>
      </c>
      <c r="I7" s="15" t="s">
        <v>40</v>
      </c>
    </row>
    <row r="8" spans="1:9" x14ac:dyDescent="0.25">
      <c r="B8" s="14">
        <v>46273</v>
      </c>
      <c r="C8" s="15" t="s">
        <v>50</v>
      </c>
      <c r="D8" s="15" t="s">
        <v>51</v>
      </c>
      <c r="E8" s="15">
        <v>374734</v>
      </c>
      <c r="F8" s="15" t="s">
        <v>19</v>
      </c>
      <c r="G8" s="16">
        <f ca="1">TODAY()</f>
        <v>46222</v>
      </c>
      <c r="H8" s="15"/>
      <c r="I8" s="15" t="s">
        <v>33</v>
      </c>
    </row>
    <row r="9" spans="1:9" x14ac:dyDescent="0.25">
      <c r="B9" s="14">
        <v>46261</v>
      </c>
      <c r="C9" s="15" t="s">
        <v>52</v>
      </c>
      <c r="D9" s="15" t="s">
        <v>53</v>
      </c>
      <c r="E9" s="15">
        <v>971237</v>
      </c>
      <c r="F9" s="15" t="s">
        <v>14</v>
      </c>
      <c r="G9" s="16">
        <v>46257</v>
      </c>
      <c r="H9" s="15" t="s">
        <v>15</v>
      </c>
      <c r="I9" s="15" t="s">
        <v>33</v>
      </c>
    </row>
    <row r="10" spans="1:9" x14ac:dyDescent="0.25">
      <c r="B10" s="14">
        <v>46167</v>
      </c>
      <c r="C10" s="15" t="s">
        <v>54</v>
      </c>
      <c r="D10" s="15" t="s">
        <v>55</v>
      </c>
      <c r="E10" s="15">
        <v>1282241</v>
      </c>
      <c r="F10" s="15" t="s">
        <v>14</v>
      </c>
      <c r="G10" s="16">
        <v>46169</v>
      </c>
      <c r="H10" s="15" t="s">
        <v>37</v>
      </c>
      <c r="I10" s="15" t="s">
        <v>40</v>
      </c>
    </row>
    <row r="11" spans="1:9" x14ac:dyDescent="0.25">
      <c r="B11" s="14">
        <v>46228</v>
      </c>
      <c r="C11" s="15" t="s">
        <v>48</v>
      </c>
      <c r="D11" s="15" t="s">
        <v>47</v>
      </c>
      <c r="E11" s="15">
        <v>278593</v>
      </c>
      <c r="F11" s="15" t="s">
        <v>19</v>
      </c>
      <c r="G11" s="16">
        <f ca="1">TODAY()</f>
        <v>46222</v>
      </c>
      <c r="H11" s="15"/>
      <c r="I11" s="15" t="s">
        <v>20</v>
      </c>
    </row>
    <row r="12" spans="1:9" x14ac:dyDescent="0.25">
      <c r="B12" s="14">
        <v>46278</v>
      </c>
      <c r="C12" s="15" t="s">
        <v>48</v>
      </c>
      <c r="D12" s="15" t="s">
        <v>53</v>
      </c>
      <c r="E12" s="15">
        <v>1293239</v>
      </c>
      <c r="F12" s="15" t="s">
        <v>14</v>
      </c>
      <c r="G12" s="16">
        <v>46279</v>
      </c>
      <c r="H12" s="15" t="s">
        <v>15</v>
      </c>
      <c r="I12" s="15" t="s">
        <v>24</v>
      </c>
    </row>
    <row r="13" spans="1:9" x14ac:dyDescent="0.25">
      <c r="B13" s="14">
        <v>46280</v>
      </c>
      <c r="C13" s="15" t="s">
        <v>56</v>
      </c>
      <c r="D13" s="15" t="s">
        <v>57</v>
      </c>
      <c r="E13" s="15">
        <v>12266</v>
      </c>
      <c r="F13" s="15" t="s">
        <v>14</v>
      </c>
      <c r="G13" s="16">
        <v>46281</v>
      </c>
      <c r="H13" s="15" t="s">
        <v>23</v>
      </c>
      <c r="I13" s="15" t="s">
        <v>29</v>
      </c>
    </row>
    <row r="14" spans="1:9" x14ac:dyDescent="0.25">
      <c r="B14" s="14">
        <v>46267</v>
      </c>
      <c r="C14" s="15" t="s">
        <v>54</v>
      </c>
      <c r="D14" s="15" t="s">
        <v>51</v>
      </c>
      <c r="E14" s="15">
        <v>147901</v>
      </c>
      <c r="F14" s="15" t="s">
        <v>14</v>
      </c>
      <c r="G14" s="16">
        <v>46263</v>
      </c>
      <c r="H14" s="15" t="s">
        <v>15</v>
      </c>
      <c r="I14" s="15" t="s">
        <v>33</v>
      </c>
    </row>
    <row r="15" spans="1:9" x14ac:dyDescent="0.25">
      <c r="B15" s="14">
        <v>46177</v>
      </c>
      <c r="C15" s="15" t="s">
        <v>58</v>
      </c>
      <c r="D15" s="15" t="s">
        <v>51</v>
      </c>
      <c r="E15" s="15">
        <v>561159</v>
      </c>
      <c r="F15" s="15" t="s">
        <v>14</v>
      </c>
      <c r="G15" s="16">
        <v>46177</v>
      </c>
      <c r="H15" s="15" t="s">
        <v>34</v>
      </c>
      <c r="I15" s="15" t="s">
        <v>16</v>
      </c>
    </row>
    <row r="16" spans="1:9" x14ac:dyDescent="0.25">
      <c r="B16" s="14">
        <v>46247</v>
      </c>
      <c r="C16" s="15" t="s">
        <v>59</v>
      </c>
      <c r="D16" s="15" t="s">
        <v>60</v>
      </c>
      <c r="E16" s="15">
        <v>71884</v>
      </c>
      <c r="F16" s="15" t="s">
        <v>14</v>
      </c>
      <c r="G16" s="16">
        <v>46249</v>
      </c>
      <c r="H16" s="15" t="s">
        <v>23</v>
      </c>
      <c r="I16" s="15" t="s">
        <v>40</v>
      </c>
    </row>
    <row r="17" spans="2:9" x14ac:dyDescent="0.25">
      <c r="B17" s="14">
        <v>46223</v>
      </c>
      <c r="C17" s="15" t="s">
        <v>59</v>
      </c>
      <c r="D17" s="15" t="s">
        <v>45</v>
      </c>
      <c r="E17" s="15">
        <v>44260</v>
      </c>
      <c r="F17" s="15" t="s">
        <v>14</v>
      </c>
      <c r="G17" s="16">
        <v>46221</v>
      </c>
      <c r="H17" s="15" t="s">
        <v>37</v>
      </c>
      <c r="I17" s="15" t="s">
        <v>29</v>
      </c>
    </row>
    <row r="18" spans="2:9" x14ac:dyDescent="0.25">
      <c r="B18" s="14">
        <v>46219</v>
      </c>
      <c r="C18" s="15" t="s">
        <v>56</v>
      </c>
      <c r="D18" s="15" t="s">
        <v>55</v>
      </c>
      <c r="E18" s="15">
        <v>607481</v>
      </c>
      <c r="F18" s="15" t="s">
        <v>14</v>
      </c>
      <c r="G18" s="16">
        <v>46220</v>
      </c>
      <c r="H18" s="15" t="s">
        <v>37</v>
      </c>
      <c r="I18" s="15" t="s">
        <v>33</v>
      </c>
    </row>
    <row r="19" spans="2:9" x14ac:dyDescent="0.25">
      <c r="B19" s="14">
        <v>46254</v>
      </c>
      <c r="C19" s="15" t="s">
        <v>61</v>
      </c>
      <c r="D19" s="15" t="s">
        <v>60</v>
      </c>
      <c r="E19" s="15">
        <v>1337831</v>
      </c>
      <c r="F19" s="15" t="s">
        <v>19</v>
      </c>
      <c r="G19" s="16">
        <f ca="1">TODAY()</f>
        <v>46222</v>
      </c>
      <c r="H19" s="15"/>
      <c r="I19" s="15" t="s">
        <v>38</v>
      </c>
    </row>
    <row r="20" spans="2:9" x14ac:dyDescent="0.25">
      <c r="B20" s="14">
        <v>46179</v>
      </c>
      <c r="C20" s="15" t="s">
        <v>46</v>
      </c>
      <c r="D20" s="15" t="s">
        <v>62</v>
      </c>
      <c r="E20" s="15">
        <v>522722</v>
      </c>
      <c r="F20" s="15" t="s">
        <v>14</v>
      </c>
      <c r="G20" s="16">
        <v>46181</v>
      </c>
      <c r="H20" s="15" t="s">
        <v>34</v>
      </c>
      <c r="I20" s="15" t="s">
        <v>40</v>
      </c>
    </row>
    <row r="21" spans="2:9" x14ac:dyDescent="0.25">
      <c r="B21" s="14">
        <v>46208</v>
      </c>
      <c r="C21" s="15" t="s">
        <v>54</v>
      </c>
      <c r="D21" s="15" t="s">
        <v>49</v>
      </c>
      <c r="E21" s="15">
        <v>922892</v>
      </c>
      <c r="F21" s="15" t="s">
        <v>14</v>
      </c>
      <c r="G21" s="16">
        <v>46207</v>
      </c>
      <c r="H21" s="15" t="s">
        <v>37</v>
      </c>
      <c r="I21" s="15" t="s">
        <v>29</v>
      </c>
    </row>
    <row r="22" spans="2:9" x14ac:dyDescent="0.25">
      <c r="B22" s="14">
        <v>46170</v>
      </c>
      <c r="C22" s="15" t="s">
        <v>48</v>
      </c>
      <c r="D22" s="15" t="s">
        <v>45</v>
      </c>
      <c r="E22" s="15">
        <v>1393655</v>
      </c>
      <c r="F22" s="15" t="s">
        <v>14</v>
      </c>
      <c r="G22" s="16">
        <v>46172</v>
      </c>
      <c r="H22" s="15" t="s">
        <v>23</v>
      </c>
      <c r="I22" s="15" t="s">
        <v>16</v>
      </c>
    </row>
    <row r="23" spans="2:9" x14ac:dyDescent="0.25">
      <c r="B23" s="14">
        <v>46275</v>
      </c>
      <c r="C23" s="15" t="s">
        <v>44</v>
      </c>
      <c r="D23" s="15" t="s">
        <v>49</v>
      </c>
      <c r="E23" s="15">
        <v>377976</v>
      </c>
      <c r="F23" s="15" t="s">
        <v>19</v>
      </c>
      <c r="G23" s="16">
        <f t="shared" ref="G23:G24" ca="1" si="0">TODAY()</f>
        <v>46222</v>
      </c>
      <c r="H23" s="15"/>
      <c r="I23" s="15" t="s">
        <v>38</v>
      </c>
    </row>
    <row r="24" spans="2:9" x14ac:dyDescent="0.25">
      <c r="B24" s="14">
        <v>46263</v>
      </c>
      <c r="C24" s="15" t="s">
        <v>46</v>
      </c>
      <c r="D24" s="15" t="s">
        <v>47</v>
      </c>
      <c r="E24" s="15">
        <v>1468989</v>
      </c>
      <c r="F24" s="15" t="s">
        <v>19</v>
      </c>
      <c r="G24" s="16">
        <f t="shared" ca="1" si="0"/>
        <v>46222</v>
      </c>
      <c r="H24" s="15"/>
      <c r="I24" s="15" t="s">
        <v>40</v>
      </c>
    </row>
    <row r="25" spans="2:9" x14ac:dyDescent="0.25">
      <c r="B25" s="14">
        <v>46232</v>
      </c>
      <c r="C25" s="15" t="s">
        <v>54</v>
      </c>
      <c r="D25" s="15" t="s">
        <v>49</v>
      </c>
      <c r="E25" s="15">
        <v>643132</v>
      </c>
      <c r="F25" s="15" t="s">
        <v>14</v>
      </c>
      <c r="G25" s="16">
        <v>46231</v>
      </c>
      <c r="H25" s="15" t="s">
        <v>37</v>
      </c>
      <c r="I25" s="15" t="s">
        <v>38</v>
      </c>
    </row>
    <row r="26" spans="2:9" x14ac:dyDescent="0.25">
      <c r="B26" s="14">
        <v>46248</v>
      </c>
      <c r="C26" s="15" t="s">
        <v>48</v>
      </c>
      <c r="D26" s="15" t="s">
        <v>49</v>
      </c>
      <c r="E26" s="15">
        <v>890403</v>
      </c>
      <c r="F26" s="15" t="s">
        <v>19</v>
      </c>
      <c r="G26" s="16">
        <f t="shared" ref="G26:G28" ca="1" si="1">TODAY()</f>
        <v>46222</v>
      </c>
      <c r="H26" s="15"/>
      <c r="I26" s="15" t="s">
        <v>16</v>
      </c>
    </row>
    <row r="27" spans="2:9" x14ac:dyDescent="0.25">
      <c r="B27" s="14">
        <v>46185</v>
      </c>
      <c r="C27" s="15" t="s">
        <v>59</v>
      </c>
      <c r="D27" s="15" t="s">
        <v>60</v>
      </c>
      <c r="E27" s="15">
        <v>159442</v>
      </c>
      <c r="F27" s="15" t="s">
        <v>19</v>
      </c>
      <c r="G27" s="16">
        <f t="shared" ca="1" si="1"/>
        <v>46222</v>
      </c>
      <c r="H27" s="15"/>
      <c r="I27" s="15" t="s">
        <v>20</v>
      </c>
    </row>
    <row r="28" spans="2:9" x14ac:dyDescent="0.25">
      <c r="B28" s="14">
        <v>46176</v>
      </c>
      <c r="C28" s="15" t="s">
        <v>58</v>
      </c>
      <c r="D28" s="15" t="s">
        <v>60</v>
      </c>
      <c r="E28" s="15">
        <v>955553</v>
      </c>
      <c r="F28" s="15" t="s">
        <v>19</v>
      </c>
      <c r="G28" s="16">
        <f t="shared" ca="1" si="1"/>
        <v>46222</v>
      </c>
      <c r="H28" s="15"/>
      <c r="I28" s="15" t="s">
        <v>40</v>
      </c>
    </row>
  </sheetData>
  <conditionalFormatting sqref="F4:F28">
    <cfRule type="cellIs" dxfId="13" priority="1" operator="equal">
      <formula>"PAGO"</formula>
    </cfRule>
    <cfRule type="cellIs" dxfId="12" priority="2" operator="equal">
      <formula>"PENDENTE"</formula>
    </cfRule>
    <cfRule type="cellIs" dxfId="11" priority="3" operator="equal">
      <formula>"ATRASADO"</formula>
    </cfRule>
  </conditionalFormatting>
  <dataValidations count="1">
    <dataValidation type="list" allowBlank="1" showInputMessage="1" showErrorMessage="1" sqref="H4:H28">
      <formula1>"BOLETO,TRANSFERENCIA,PIX,DEBITO,CREDITO,DINHEIRO"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115" zoomScaleNormal="115" workbookViewId="0"/>
  </sheetViews>
  <sheetFormatPr defaultRowHeight="15" x14ac:dyDescent="0.25"/>
  <sheetData>
    <row r="1" spans="1:1" s="2" customFormat="1" ht="47.25" customHeight="1" x14ac:dyDescent="0.7">
      <c r="A1" s="1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CONTAS A PAGAR</vt:lpstr>
      <vt:lpstr>CONTAS A RECEBER</vt:lpstr>
      <vt:lpstr>ANALISES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2026-07-18T01:37:25Z</dcterms:created>
  <dcterms:modified xsi:type="dcterms:W3CDTF">2026-07-20T01:52:18Z</dcterms:modified>
</cp:coreProperties>
</file>