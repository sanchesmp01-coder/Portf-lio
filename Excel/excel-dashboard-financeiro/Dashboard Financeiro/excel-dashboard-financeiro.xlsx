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64011"/>
  <mc:AlternateContent xmlns:mc="http://schemas.openxmlformats.org/markup-compatibility/2006">
    <mc:Choice Requires="x15">
      <x15ac:absPath xmlns:x15ac="http://schemas.microsoft.com/office/spreadsheetml/2010/11/ac" url="C:\Users\HP\Documents\Github\Portfolio\Portfólio\Excel\excel-dashboard-financeiro\Dashboard Financeiro\"/>
    </mc:Choice>
  </mc:AlternateContent>
  <bookViews>
    <workbookView xWindow="0" yWindow="0" windowWidth="12990" windowHeight="5865"/>
  </bookViews>
  <sheets>
    <sheet name="CONTAS A PAGAR" sheetId="5" r:id="rId1"/>
    <sheet name="CONTAS A RECEBER" sheetId="4" r:id="rId2"/>
    <sheet name="ANALISES" sheetId="3" r:id="rId3"/>
  </sheets>
  <calcPr calcId="162913"/>
  <pivotCaches>
    <pivotCache cacheId="31" r:id="rId4"/>
    <pivotCache cacheId="35" r:id="rId5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6" i="5" l="1"/>
  <c r="F8" i="5"/>
  <c r="F9" i="5"/>
  <c r="F10" i="5"/>
  <c r="F12" i="5"/>
  <c r="F13" i="5"/>
  <c r="F14" i="5"/>
  <c r="F15" i="5"/>
  <c r="F18" i="5"/>
  <c r="F19" i="5"/>
  <c r="F20" i="5"/>
  <c r="F21" i="5"/>
  <c r="F25" i="5"/>
  <c r="F26" i="5"/>
  <c r="F27" i="5"/>
  <c r="F29" i="5"/>
  <c r="F7" i="4"/>
  <c r="F8" i="4"/>
  <c r="F10" i="4"/>
  <c r="F11" i="4"/>
  <c r="F13" i="4"/>
  <c r="F14" i="4"/>
  <c r="F15" i="4"/>
  <c r="F16" i="4"/>
  <c r="F17" i="4"/>
  <c r="F18" i="4"/>
  <c r="F19" i="4"/>
  <c r="F21" i="4"/>
  <c r="F22" i="4"/>
  <c r="F23" i="4"/>
  <c r="F26" i="4"/>
  <c r="G6" i="4"/>
  <c r="F6" i="4" s="1"/>
  <c r="G9" i="4"/>
  <c r="F9" i="4" s="1"/>
  <c r="G12" i="4"/>
  <c r="F12" i="4" s="1"/>
  <c r="F20" i="4"/>
  <c r="G24" i="4"/>
  <c r="F24" i="4" s="1"/>
  <c r="G25" i="4"/>
  <c r="F25" i="4" s="1"/>
  <c r="G27" i="4"/>
  <c r="F27" i="4" s="1"/>
  <c r="F28" i="4"/>
  <c r="F29" i="4"/>
  <c r="G7" i="5"/>
  <c r="F7" i="5" s="1"/>
  <c r="G11" i="5"/>
  <c r="F11" i="5" s="1"/>
  <c r="F16" i="5"/>
  <c r="F17" i="5"/>
  <c r="F22" i="5"/>
  <c r="F23" i="5"/>
  <c r="G24" i="5"/>
  <c r="F24" i="5" s="1"/>
  <c r="G28" i="5"/>
  <c r="F28" i="5" s="1"/>
  <c r="F30" i="5"/>
  <c r="F31" i="5"/>
  <c r="B5" i="5"/>
  <c r="F5" i="5" s="1"/>
  <c r="B5" i="4"/>
  <c r="G5" i="4"/>
  <c r="F5" i="4" s="1"/>
</calcChain>
</file>

<file path=xl/sharedStrings.xml><?xml version="1.0" encoding="utf-8"?>
<sst xmlns="http://schemas.openxmlformats.org/spreadsheetml/2006/main" count="222" uniqueCount="73">
  <si>
    <t>CONTAS A RECEBER</t>
  </si>
  <si>
    <t>CONTAS A PAGAR</t>
  </si>
  <si>
    <t>ANÁLISES</t>
  </si>
  <si>
    <t>DATA DE VENCIMENTO</t>
  </si>
  <si>
    <t>FORNECEDOR</t>
  </si>
  <si>
    <t>DESCRIÇÃO</t>
  </si>
  <si>
    <t>VALOR A PAGAR</t>
  </si>
  <si>
    <t>STATUS</t>
  </si>
  <si>
    <t>DATA DE PAGAMENTO</t>
  </si>
  <si>
    <t>TIPO DE PAGAMENTO</t>
  </si>
  <si>
    <t>CENTRO DE CUSTO</t>
  </si>
  <si>
    <t>CLIENTE</t>
  </si>
  <si>
    <t>Gráfica Rápida</t>
  </si>
  <si>
    <t>Conta de Luz</t>
  </si>
  <si>
    <t>Cartão de Crédito</t>
  </si>
  <si>
    <t>RH</t>
  </si>
  <si>
    <t>Aluguel Imóveis</t>
  </si>
  <si>
    <t>Hospedagem de Site</t>
  </si>
  <si>
    <t>Marketing</t>
  </si>
  <si>
    <t>Consultoria XPTO</t>
  </si>
  <si>
    <t>Material de Escritório</t>
  </si>
  <si>
    <t>Boleto</t>
  </si>
  <si>
    <t>Vendas</t>
  </si>
  <si>
    <t>Limpeza &amp; Cia</t>
  </si>
  <si>
    <t>Assinatura de Software</t>
  </si>
  <si>
    <t>Energia S.A.</t>
  </si>
  <si>
    <t>Seguro Predial</t>
  </si>
  <si>
    <t>Operacional</t>
  </si>
  <si>
    <t>AWS Amazon</t>
  </si>
  <si>
    <t>Manutenção de Ar-condicionado</t>
  </si>
  <si>
    <t>Campanha de Marketing</t>
  </si>
  <si>
    <t>Administrativo</t>
  </si>
  <si>
    <t>Pix</t>
  </si>
  <si>
    <t>Papelaria Silva</t>
  </si>
  <si>
    <t>Serviços de Consultoria</t>
  </si>
  <si>
    <t>Transferência Bancária</t>
  </si>
  <si>
    <t>TI</t>
  </si>
  <si>
    <t>Insumos de Produção</t>
  </si>
  <si>
    <t>Financeiro</t>
  </si>
  <si>
    <t>Seguros Porto</t>
  </si>
  <si>
    <t>Limpeza Mensal</t>
  </si>
  <si>
    <t>Internet Fibra</t>
  </si>
  <si>
    <t>Varejo Global</t>
  </si>
  <si>
    <t>Suporte Premium</t>
  </si>
  <si>
    <t>Construtora Alfa</t>
  </si>
  <si>
    <t>Projeto de Software</t>
  </si>
  <si>
    <t>Supermercado Real</t>
  </si>
  <si>
    <t>Venda de Equipamento</t>
  </si>
  <si>
    <t>João Silva</t>
  </si>
  <si>
    <t>Manutenção de Sistema</t>
  </si>
  <si>
    <t>Academia Fit</t>
  </si>
  <si>
    <t>Venda de Licença</t>
  </si>
  <si>
    <t>Escola Aprender</t>
  </si>
  <si>
    <t>Desenvolvimento de Site</t>
  </si>
  <si>
    <t>Hospital Vida</t>
  </si>
  <si>
    <t>Consultoria Técnica</t>
  </si>
  <si>
    <t>Restaurante Sabor</t>
  </si>
  <si>
    <t>Tech Solutions Ltda</t>
  </si>
  <si>
    <t>Prestação de Serviço Mensal</t>
  </si>
  <si>
    <t>Maria Oliveira</t>
  </si>
  <si>
    <t>Curso de Treinamento</t>
  </si>
  <si>
    <t>Rótulos de Linha</t>
  </si>
  <si>
    <t>Total Geral</t>
  </si>
  <si>
    <t>mai</t>
  </si>
  <si>
    <t>jun</t>
  </si>
  <si>
    <t>jul</t>
  </si>
  <si>
    <t>ago</t>
  </si>
  <si>
    <t>Rótulos de Coluna</t>
  </si>
  <si>
    <t>PAGO</t>
  </si>
  <si>
    <t>Soma de VALOR A PAGAR</t>
  </si>
  <si>
    <t>set</t>
  </si>
  <si>
    <t>PENDENTE</t>
  </si>
  <si>
    <t>ATRASADO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</si>
</sst>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4" formatCode="_-&quot;R$&quot;\ * #,##0.00_-;\-&quot;R$&quot;\ * #,##0.00_-;_-&quot;R$&quot;\ * &quot;-&quot;??_-;_-@_-"/>
    <numFmt numFmtId="164" formatCode="&quot;R$&quot;\ #,##0.00"/>
  </numFmts>
  <fonts count="8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36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scheme val="minor"/>
    </font>
    <font>
      <b/>
      <sz val="11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 style="thin">
        <color theme="9"/>
      </left>
      <right/>
      <top style="thin">
        <color theme="9"/>
      </top>
      <bottom/>
      <diagonal/>
    </border>
    <border>
      <left style="thin">
        <color theme="9"/>
      </left>
      <right/>
      <top style="medium">
        <color theme="9"/>
      </top>
      <bottom/>
      <diagonal/>
    </border>
    <border>
      <left/>
      <right/>
      <top style="thin">
        <color theme="9"/>
      </top>
      <bottom/>
      <diagonal/>
    </border>
    <border>
      <left/>
      <right/>
      <top style="medium">
        <color theme="9"/>
      </top>
      <bottom/>
      <diagonal/>
    </border>
    <border>
      <left style="thin">
        <color theme="9"/>
      </left>
      <right/>
      <top/>
      <bottom/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30">
    <xf numFmtId="0" fontId="0" fillId="0" borderId="0" xfId="0"/>
    <xf numFmtId="0" fontId="2" fillId="2" borderId="0" xfId="0" applyFont="1" applyFill="1"/>
    <xf numFmtId="0" fontId="1" fillId="2" borderId="0" xfId="0" applyFont="1" applyFill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44" fontId="0" fillId="0" borderId="0" xfId="1" applyFont="1" applyAlignment="1">
      <alignment horizontal="center" vertical="center"/>
    </xf>
    <xf numFmtId="44" fontId="1" fillId="2" borderId="0" xfId="1" applyFont="1" applyFill="1" applyAlignment="1">
      <alignment horizontal="center" vertical="center"/>
    </xf>
    <xf numFmtId="44" fontId="0" fillId="0" borderId="0" xfId="0" applyNumberFormat="1"/>
    <xf numFmtId="44" fontId="3" fillId="0" borderId="0" xfId="0" applyNumberFormat="1" applyFont="1" applyAlignment="1">
      <alignment horizontal="center" vertical="center"/>
    </xf>
    <xf numFmtId="0" fontId="4" fillId="3" borderId="0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14" fontId="0" fillId="0" borderId="5" xfId="0" applyNumberFormat="1" applyFont="1" applyFill="1" applyBorder="1" applyAlignment="1">
      <alignment horizontal="center" vertical="center"/>
    </xf>
    <xf numFmtId="0" fontId="0" fillId="0" borderId="3" xfId="0" applyFont="1" applyFill="1" applyBorder="1" applyAlignment="1">
      <alignment horizontal="center" vertical="center"/>
    </xf>
    <xf numFmtId="14" fontId="0" fillId="0" borderId="3" xfId="0" applyNumberFormat="1" applyFont="1" applyFill="1" applyBorder="1" applyAlignment="1">
      <alignment horizontal="center" vertical="center"/>
    </xf>
    <xf numFmtId="14" fontId="0" fillId="0" borderId="4" xfId="0" applyNumberFormat="1" applyFont="1" applyFill="1" applyBorder="1" applyAlignment="1">
      <alignment horizontal="center" vertical="center"/>
    </xf>
    <xf numFmtId="0" fontId="0" fillId="0" borderId="2" xfId="0" applyNumberFormat="1" applyFont="1" applyFill="1" applyBorder="1" applyAlignment="1">
      <alignment horizontal="center" vertical="center"/>
    </xf>
    <xf numFmtId="14" fontId="0" fillId="0" borderId="2" xfId="0" applyNumberFormat="1" applyFont="1" applyFill="1" applyBorder="1" applyAlignment="1">
      <alignment horizontal="center" vertical="center"/>
    </xf>
    <xf numFmtId="44" fontId="5" fillId="0" borderId="0" xfId="0" pivotButton="1" applyNumberFormat="1" applyFont="1"/>
    <xf numFmtId="44" fontId="5" fillId="0" borderId="0" xfId="0" applyNumberFormat="1" applyFont="1"/>
    <xf numFmtId="44" fontId="5" fillId="0" borderId="0" xfId="0" applyNumberFormat="1" applyFont="1" applyAlignment="1">
      <alignment horizontal="left"/>
    </xf>
    <xf numFmtId="44" fontId="1" fillId="2" borderId="0" xfId="0" applyNumberFormat="1" applyFont="1" applyFill="1"/>
    <xf numFmtId="44" fontId="4" fillId="3" borderId="6" xfId="0" applyNumberFormat="1" applyFont="1" applyFill="1" applyBorder="1" applyAlignment="1">
      <alignment horizontal="center" vertical="center"/>
    </xf>
    <xf numFmtId="44" fontId="0" fillId="0" borderId="3" xfId="0" applyNumberFormat="1" applyFont="1" applyFill="1" applyBorder="1" applyAlignment="1">
      <alignment horizontal="center" vertical="center"/>
    </xf>
    <xf numFmtId="44" fontId="0" fillId="0" borderId="2" xfId="0" applyNumberFormat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0" fontId="7" fillId="0" borderId="1" xfId="0" pivotButton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</cellXfs>
  <cellStyles count="2">
    <cellStyle name="Moeda" xfId="1" builtinId="4"/>
    <cellStyle name="Normal" xfId="0" builtinId="0"/>
  </cellStyles>
  <dxfs count="137"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color auto="1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 style="thin">
          <color theme="4"/>
        </top>
        <bottom style="double">
          <color theme="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scheme val="minor"/>
      </font>
      <border diagonalUp="0" diagonalDown="0" outline="0">
        <left/>
        <right/>
        <top/>
        <bottom style="medium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scheme val="minor"/>
      </font>
      <border diagonalUp="0" diagonalDown="0" outline="0">
        <left/>
        <right/>
        <top/>
        <bottom style="medium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scheme val="minor"/>
      </font>
      <border diagonalUp="0" diagonalDown="0" outline="0">
        <left/>
        <right/>
        <top/>
        <bottom style="medium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scheme val="minor"/>
      </font>
      <border diagonalUp="0" diagonalDown="0" outline="0">
        <left/>
        <right/>
        <top/>
        <bottom style="medium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scheme val="minor"/>
      </font>
      <border diagonalUp="0" diagonalDown="0" outline="0">
        <left/>
        <right/>
        <top/>
        <bottom style="medium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scheme val="minor"/>
      </font>
      <border diagonalUp="0" diagonalDown="0" outline="0">
        <left/>
        <right/>
        <top/>
        <bottom style="medium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scheme val="minor"/>
      </font>
      <border diagonalUp="0" diagonalDown="0" outline="0">
        <left/>
        <right/>
        <top/>
        <bottom style="medium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scheme val="minor"/>
      </font>
      <border diagonalUp="0" diagonalDown="0" outline="0">
        <left/>
        <right/>
        <top/>
        <bottom style="medium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scheme val="minor"/>
      </font>
      <border diagonalUp="0" diagonalDown="0" outline="0">
        <left/>
        <right/>
        <top/>
        <bottom style="medium">
          <color theme="4" tint="0.39997558519241921"/>
        </bottom>
      </border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font>
        <color theme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9"/>
        </left>
        <right/>
        <top style="thin">
          <color theme="9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9"/>
        </left>
        <right/>
        <top style="thin">
          <color theme="9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9"/>
        </left>
        <right/>
        <top style="thin">
          <color theme="9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9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9"/>
        </left>
        <right/>
        <top style="thin">
          <color theme="9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9"/>
        </left>
        <right/>
        <top style="thin">
          <color theme="9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9"/>
        </left>
        <right/>
        <top style="thin">
          <color theme="9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9"/>
        </top>
        <bottom/>
      </border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theme="1"/>
      </font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scheme val="minor"/>
      </font>
      <border diagonalUp="0" diagonalDown="0" outline="0">
        <left/>
        <right/>
        <top/>
        <bottom style="medium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scheme val="minor"/>
      </font>
      <border diagonalUp="0" diagonalDown="0" outline="0">
        <left/>
        <right/>
        <top/>
        <bottom style="medium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scheme val="minor"/>
      </font>
      <border diagonalUp="0" diagonalDown="0" outline="0">
        <left/>
        <right/>
        <top/>
        <bottom style="medium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scheme val="minor"/>
      </font>
      <border diagonalUp="0" diagonalDown="0" outline="0">
        <left/>
        <right/>
        <top/>
        <bottom style="medium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scheme val="minor"/>
      </font>
      <border diagonalUp="0" diagonalDown="0" outline="0">
        <left/>
        <right/>
        <top/>
        <bottom style="medium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scheme val="minor"/>
      </font>
      <border diagonalUp="0" diagonalDown="0" outline="0">
        <left/>
        <right/>
        <top/>
        <bottom style="medium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scheme val="minor"/>
      </font>
      <border diagonalUp="0" diagonalDown="0" outline="0">
        <left/>
        <right/>
        <top/>
        <bottom style="medium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scheme val="minor"/>
      </font>
      <border diagonalUp="0" diagonalDown="0" outline="0">
        <left/>
        <right/>
        <top/>
        <bottom style="medium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scheme val="minor"/>
      </font>
      <border diagonalUp="0" diagonalDown="0" outline="0">
        <left/>
        <right/>
        <top/>
        <bottom style="medium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 style="thin">
          <color theme="4"/>
        </top>
        <bottom style="double">
          <color theme="4"/>
        </bottom>
      </border>
    </dxf>
    <dxf>
      <border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'CONTAS A PAGAR'!A1"/><Relationship Id="rId2" Type="http://schemas.openxmlformats.org/officeDocument/2006/relationships/hyperlink" Target="#'CONTAS A RECEBER'!A1"/><Relationship Id="rId1" Type="http://schemas.openxmlformats.org/officeDocument/2006/relationships/hyperlink" Target="#ANALISES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ANALISES!A1"/><Relationship Id="rId2" Type="http://schemas.openxmlformats.org/officeDocument/2006/relationships/hyperlink" Target="#'CONTAS A RECEBER'!A1"/><Relationship Id="rId1" Type="http://schemas.openxmlformats.org/officeDocument/2006/relationships/hyperlink" Target="#'CONTAS A PAGAR'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ANALISES!A1"/><Relationship Id="rId2" Type="http://schemas.openxmlformats.org/officeDocument/2006/relationships/hyperlink" Target="#'CONTAS A RECEBER'!A1"/><Relationship Id="rId1" Type="http://schemas.openxmlformats.org/officeDocument/2006/relationships/hyperlink" Target="#'CONTAS A PAGAR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807893</xdr:colOff>
      <xdr:row>0</xdr:row>
      <xdr:rowOff>45893</xdr:rowOff>
    </xdr:from>
    <xdr:to>
      <xdr:col>5</xdr:col>
      <xdr:colOff>232930</xdr:colOff>
      <xdr:row>0</xdr:row>
      <xdr:rowOff>550718</xdr:rowOff>
    </xdr:to>
    <xdr:sp macro="" textlink="">
      <xdr:nvSpPr>
        <xdr:cNvPr id="4" name="Retângulo Arredondado 3">
          <a:hlinkClick xmlns:r="http://schemas.openxmlformats.org/officeDocument/2006/relationships" r:id="rId1"/>
        </xdr:cNvPr>
        <xdr:cNvSpPr/>
      </xdr:nvSpPr>
      <xdr:spPr>
        <a:xfrm>
          <a:off x="7672821" y="45893"/>
          <a:ext cx="1565564" cy="504825"/>
        </a:xfrm>
        <a:prstGeom prst="roundRect">
          <a:avLst>
            <a:gd name="adj" fmla="val 18868"/>
          </a:avLst>
        </a:prstGeom>
        <a:solidFill>
          <a:schemeClr val="accent5">
            <a:lumMod val="50000"/>
          </a:schemeClr>
        </a:solidFill>
        <a:ln>
          <a:solidFill>
            <a:schemeClr val="bg1"/>
          </a:solidFill>
        </a:ln>
        <a:effectLst>
          <a:glow rad="101600">
            <a:schemeClr val="accent1">
              <a:satMod val="175000"/>
              <a:alpha val="40000"/>
            </a:schemeClr>
          </a:glo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/>
            <a:t>ANÁLISES</a:t>
          </a:r>
        </a:p>
      </xdr:txBody>
    </xdr:sp>
    <xdr:clientData/>
  </xdr:twoCellAnchor>
  <xdr:twoCellAnchor editAs="absolute">
    <xdr:from>
      <xdr:col>3</xdr:col>
      <xdr:colOff>443968</xdr:colOff>
      <xdr:row>0</xdr:row>
      <xdr:rowOff>51148</xdr:rowOff>
    </xdr:from>
    <xdr:to>
      <xdr:col>4</xdr:col>
      <xdr:colOff>336595</xdr:colOff>
      <xdr:row>0</xdr:row>
      <xdr:rowOff>555973</xdr:rowOff>
    </xdr:to>
    <xdr:sp macro="" textlink="">
      <xdr:nvSpPr>
        <xdr:cNvPr id="15" name="Retângulo Arredondado 14">
          <a:hlinkClick xmlns:r="http://schemas.openxmlformats.org/officeDocument/2006/relationships" r:id="rId2"/>
        </xdr:cNvPr>
        <xdr:cNvSpPr/>
      </xdr:nvSpPr>
      <xdr:spPr>
        <a:xfrm>
          <a:off x="5607175" y="51148"/>
          <a:ext cx="1548006" cy="504825"/>
        </a:xfrm>
        <a:prstGeom prst="roundRect">
          <a:avLst>
            <a:gd name="adj" fmla="val 18868"/>
          </a:avLst>
        </a:prstGeom>
        <a:solidFill>
          <a:schemeClr val="accent5">
            <a:lumMod val="50000"/>
          </a:schemeClr>
        </a:solidFill>
        <a:ln>
          <a:solidFill>
            <a:schemeClr val="bg1"/>
          </a:solidFill>
        </a:ln>
        <a:effectLst>
          <a:glow rad="101600">
            <a:schemeClr val="accent1">
              <a:satMod val="175000"/>
              <a:alpha val="40000"/>
            </a:schemeClr>
          </a:glo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/>
            <a:t>CONTAS A RECEBER</a:t>
          </a:r>
        </a:p>
      </xdr:txBody>
    </xdr:sp>
    <xdr:clientData/>
  </xdr:twoCellAnchor>
  <xdr:twoCellAnchor editAs="absolute">
    <xdr:from>
      <xdr:col>2</xdr:col>
      <xdr:colOff>301785</xdr:colOff>
      <xdr:row>0</xdr:row>
      <xdr:rowOff>38667</xdr:rowOff>
    </xdr:from>
    <xdr:to>
      <xdr:col>2</xdr:col>
      <xdr:colOff>1856958</xdr:colOff>
      <xdr:row>0</xdr:row>
      <xdr:rowOff>543492</xdr:rowOff>
    </xdr:to>
    <xdr:sp macro="" textlink="">
      <xdr:nvSpPr>
        <xdr:cNvPr id="16" name="Retângulo Arredondado 15">
          <a:hlinkClick xmlns:r="http://schemas.openxmlformats.org/officeDocument/2006/relationships" r:id="rId3"/>
        </xdr:cNvPr>
        <xdr:cNvSpPr/>
      </xdr:nvSpPr>
      <xdr:spPr>
        <a:xfrm>
          <a:off x="3586268" y="38667"/>
          <a:ext cx="1555173" cy="504825"/>
        </a:xfrm>
        <a:prstGeom prst="roundRect">
          <a:avLst>
            <a:gd name="adj" fmla="val 18868"/>
          </a:avLst>
        </a:prstGeom>
        <a:solidFill>
          <a:schemeClr val="bg1"/>
        </a:solidFill>
        <a:ln>
          <a:solidFill>
            <a:schemeClr val="bg1"/>
          </a:solidFill>
        </a:ln>
        <a:effectLst>
          <a:glow rad="101600">
            <a:schemeClr val="accent1">
              <a:satMod val="175000"/>
              <a:alpha val="40000"/>
            </a:schemeClr>
          </a:glo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00">
              <a:solidFill>
                <a:schemeClr val="accent5">
                  <a:lumMod val="50000"/>
                </a:schemeClr>
              </a:solidFill>
            </a:rPr>
            <a:t>CONTAS A PAGAR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712644</xdr:colOff>
      <xdr:row>0</xdr:row>
      <xdr:rowOff>47625</xdr:rowOff>
    </xdr:from>
    <xdr:to>
      <xdr:col>3</xdr:col>
      <xdr:colOff>397454</xdr:colOff>
      <xdr:row>0</xdr:row>
      <xdr:rowOff>552450</xdr:rowOff>
    </xdr:to>
    <xdr:sp macro="" textlink="">
      <xdr:nvSpPr>
        <xdr:cNvPr id="2" name="Retângulo Arredondado 1">
          <a:hlinkClick xmlns:r="http://schemas.openxmlformats.org/officeDocument/2006/relationships" r:id="rId1"/>
        </xdr:cNvPr>
        <xdr:cNvSpPr/>
      </xdr:nvSpPr>
      <xdr:spPr>
        <a:xfrm>
          <a:off x="4003099" y="47625"/>
          <a:ext cx="1555173" cy="504825"/>
        </a:xfrm>
        <a:prstGeom prst="roundRect">
          <a:avLst>
            <a:gd name="adj" fmla="val 18868"/>
          </a:avLst>
        </a:prstGeom>
        <a:solidFill>
          <a:schemeClr val="accent5">
            <a:lumMod val="50000"/>
          </a:schemeClr>
        </a:solidFill>
        <a:ln>
          <a:solidFill>
            <a:schemeClr val="bg1"/>
          </a:solidFill>
        </a:ln>
        <a:effectLst>
          <a:glow rad="101600">
            <a:schemeClr val="accent1">
              <a:satMod val="175000"/>
              <a:alpha val="40000"/>
            </a:schemeClr>
          </a:glo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00">
              <a:solidFill>
                <a:schemeClr val="bg1"/>
              </a:solidFill>
            </a:rPr>
            <a:t>CONTAS A PAGAR</a:t>
          </a:r>
        </a:p>
      </xdr:txBody>
    </xdr:sp>
    <xdr:clientData/>
  </xdr:twoCellAnchor>
  <xdr:twoCellAnchor editAs="absolute">
    <xdr:from>
      <xdr:col>3</xdr:col>
      <xdr:colOff>811358</xdr:colOff>
      <xdr:row>0</xdr:row>
      <xdr:rowOff>49356</xdr:rowOff>
    </xdr:from>
    <xdr:to>
      <xdr:col>4</xdr:col>
      <xdr:colOff>703985</xdr:colOff>
      <xdr:row>0</xdr:row>
      <xdr:rowOff>554181</xdr:rowOff>
    </xdr:to>
    <xdr:sp macro="" textlink="">
      <xdr:nvSpPr>
        <xdr:cNvPr id="3" name="Retângulo Arredondado 2">
          <a:hlinkClick xmlns:r="http://schemas.openxmlformats.org/officeDocument/2006/relationships" r:id="rId2"/>
        </xdr:cNvPr>
        <xdr:cNvSpPr/>
      </xdr:nvSpPr>
      <xdr:spPr>
        <a:xfrm>
          <a:off x="5972176" y="49356"/>
          <a:ext cx="1555173" cy="504825"/>
        </a:xfrm>
        <a:prstGeom prst="roundRect">
          <a:avLst>
            <a:gd name="adj" fmla="val 18868"/>
          </a:avLst>
        </a:prstGeom>
        <a:solidFill>
          <a:schemeClr val="bg1"/>
        </a:solidFill>
        <a:ln>
          <a:solidFill>
            <a:schemeClr val="bg1"/>
          </a:solidFill>
        </a:ln>
        <a:effectLst>
          <a:glow rad="101600">
            <a:schemeClr val="accent1">
              <a:satMod val="175000"/>
              <a:alpha val="40000"/>
            </a:schemeClr>
          </a:glo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>
              <a:solidFill>
                <a:schemeClr val="accent5">
                  <a:lumMod val="50000"/>
                </a:schemeClr>
              </a:solidFill>
            </a:rPr>
            <a:t>CONTAS A RECEBER</a:t>
          </a:r>
        </a:p>
      </xdr:txBody>
    </xdr:sp>
    <xdr:clientData/>
  </xdr:twoCellAnchor>
  <xdr:twoCellAnchor editAs="absolute">
    <xdr:from>
      <xdr:col>4</xdr:col>
      <xdr:colOff>1206211</xdr:colOff>
      <xdr:row>0</xdr:row>
      <xdr:rowOff>45893</xdr:rowOff>
    </xdr:from>
    <xdr:to>
      <xdr:col>5</xdr:col>
      <xdr:colOff>631248</xdr:colOff>
      <xdr:row>0</xdr:row>
      <xdr:rowOff>550718</xdr:rowOff>
    </xdr:to>
    <xdr:sp macro="" textlink="">
      <xdr:nvSpPr>
        <xdr:cNvPr id="4" name="Retângulo Arredondado 3">
          <a:hlinkClick xmlns:r="http://schemas.openxmlformats.org/officeDocument/2006/relationships" r:id="rId3"/>
        </xdr:cNvPr>
        <xdr:cNvSpPr/>
      </xdr:nvSpPr>
      <xdr:spPr>
        <a:xfrm>
          <a:off x="8029575" y="45893"/>
          <a:ext cx="1555173" cy="504825"/>
        </a:xfrm>
        <a:prstGeom prst="roundRect">
          <a:avLst>
            <a:gd name="adj" fmla="val 18868"/>
          </a:avLst>
        </a:prstGeom>
        <a:solidFill>
          <a:schemeClr val="accent5">
            <a:lumMod val="50000"/>
          </a:schemeClr>
        </a:solidFill>
        <a:ln>
          <a:solidFill>
            <a:schemeClr val="bg1"/>
          </a:solidFill>
        </a:ln>
        <a:effectLst>
          <a:glow rad="101600">
            <a:schemeClr val="accent1">
              <a:satMod val="175000"/>
              <a:alpha val="40000"/>
            </a:schemeClr>
          </a:glo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/>
            <a:t>ANÁLISES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1386020</xdr:colOff>
      <xdr:row>0</xdr:row>
      <xdr:rowOff>64943</xdr:rowOff>
    </xdr:from>
    <xdr:to>
      <xdr:col>4</xdr:col>
      <xdr:colOff>641954</xdr:colOff>
      <xdr:row>0</xdr:row>
      <xdr:rowOff>569768</xdr:rowOff>
    </xdr:to>
    <xdr:sp macro="" textlink="">
      <xdr:nvSpPr>
        <xdr:cNvPr id="2" name="Retângulo Arredondado 1">
          <a:hlinkClick xmlns:r="http://schemas.openxmlformats.org/officeDocument/2006/relationships" r:id="rId1"/>
        </xdr:cNvPr>
        <xdr:cNvSpPr/>
      </xdr:nvSpPr>
      <xdr:spPr>
        <a:xfrm>
          <a:off x="3552826" y="64943"/>
          <a:ext cx="1555173" cy="504825"/>
        </a:xfrm>
        <a:prstGeom prst="roundRect">
          <a:avLst>
            <a:gd name="adj" fmla="val 18868"/>
          </a:avLst>
        </a:prstGeom>
        <a:solidFill>
          <a:schemeClr val="accent5">
            <a:lumMod val="50000"/>
          </a:schemeClr>
        </a:solidFill>
        <a:ln>
          <a:solidFill>
            <a:schemeClr val="bg1"/>
          </a:solidFill>
        </a:ln>
        <a:effectLst>
          <a:glow rad="101600">
            <a:schemeClr val="accent1">
              <a:satMod val="175000"/>
              <a:alpha val="40000"/>
            </a:schemeClr>
          </a:glo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00">
              <a:solidFill>
                <a:schemeClr val="bg1"/>
              </a:solidFill>
            </a:rPr>
            <a:t>CONTAS A PAGAR</a:t>
          </a:r>
        </a:p>
      </xdr:txBody>
    </xdr:sp>
    <xdr:clientData/>
  </xdr:twoCellAnchor>
  <xdr:twoCellAnchor editAs="absolute">
    <xdr:from>
      <xdr:col>5</xdr:col>
      <xdr:colOff>124042</xdr:colOff>
      <xdr:row>0</xdr:row>
      <xdr:rowOff>49357</xdr:rowOff>
    </xdr:from>
    <xdr:to>
      <xdr:col>7</xdr:col>
      <xdr:colOff>259024</xdr:colOff>
      <xdr:row>0</xdr:row>
      <xdr:rowOff>554182</xdr:rowOff>
    </xdr:to>
    <xdr:sp macro="" textlink="">
      <xdr:nvSpPr>
        <xdr:cNvPr id="3" name="Retângulo Arredondado 2">
          <a:hlinkClick xmlns:r="http://schemas.openxmlformats.org/officeDocument/2006/relationships" r:id="rId2"/>
        </xdr:cNvPr>
        <xdr:cNvSpPr/>
      </xdr:nvSpPr>
      <xdr:spPr>
        <a:xfrm>
          <a:off x="5556540" y="49357"/>
          <a:ext cx="1555173" cy="504825"/>
        </a:xfrm>
        <a:prstGeom prst="roundRect">
          <a:avLst>
            <a:gd name="adj" fmla="val 18868"/>
          </a:avLst>
        </a:prstGeom>
        <a:solidFill>
          <a:schemeClr val="accent5">
            <a:lumMod val="50000"/>
          </a:schemeClr>
        </a:solidFill>
        <a:ln>
          <a:solidFill>
            <a:schemeClr val="bg1"/>
          </a:solidFill>
        </a:ln>
        <a:effectLst>
          <a:glow rad="101600">
            <a:schemeClr val="accent1">
              <a:satMod val="175000"/>
              <a:alpha val="40000"/>
            </a:schemeClr>
          </a:glo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/>
            <a:t>CONTAS A RECEBER</a:t>
          </a:r>
        </a:p>
      </xdr:txBody>
    </xdr:sp>
    <xdr:clientData/>
  </xdr:twoCellAnchor>
  <xdr:twoCellAnchor editAs="absolute">
    <xdr:from>
      <xdr:col>7</xdr:col>
      <xdr:colOff>785346</xdr:colOff>
      <xdr:row>0</xdr:row>
      <xdr:rowOff>45893</xdr:rowOff>
    </xdr:from>
    <xdr:to>
      <xdr:col>8</xdr:col>
      <xdr:colOff>683425</xdr:colOff>
      <xdr:row>0</xdr:row>
      <xdr:rowOff>550718</xdr:rowOff>
    </xdr:to>
    <xdr:sp macro="" textlink="">
      <xdr:nvSpPr>
        <xdr:cNvPr id="4" name="Retângulo Arredondado 3">
          <a:hlinkClick xmlns:r="http://schemas.openxmlformats.org/officeDocument/2006/relationships" r:id="rId3"/>
        </xdr:cNvPr>
        <xdr:cNvSpPr/>
      </xdr:nvSpPr>
      <xdr:spPr>
        <a:xfrm>
          <a:off x="7631257" y="45893"/>
          <a:ext cx="1555173" cy="504825"/>
        </a:xfrm>
        <a:prstGeom prst="roundRect">
          <a:avLst>
            <a:gd name="adj" fmla="val 18868"/>
          </a:avLst>
        </a:prstGeom>
        <a:solidFill>
          <a:schemeClr val="bg1"/>
        </a:solidFill>
        <a:ln>
          <a:solidFill>
            <a:schemeClr val="bg1"/>
          </a:solidFill>
        </a:ln>
        <a:effectLst>
          <a:glow rad="101600">
            <a:schemeClr val="accent1">
              <a:satMod val="175000"/>
              <a:alpha val="40000"/>
            </a:schemeClr>
          </a:glo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>
              <a:solidFill>
                <a:schemeClr val="accent5">
                  <a:lumMod val="50000"/>
                </a:schemeClr>
              </a:solidFill>
            </a:rPr>
            <a:t>ANÁLISES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HP" refreshedDate="46223.912276504627" createdVersion="6" refreshedVersion="6" minRefreshableVersion="3" recordCount="27">
  <cacheSource type="worksheet">
    <worksheetSource name="Tabela1"/>
  </cacheSource>
  <cacheFields count="9">
    <cacheField name="DATA DE VENCIMENTO" numFmtId="14">
      <sharedItems containsSemiMixedTypes="0" containsNonDate="0" containsDate="1" containsString="0" minDate="2026-05-29T00:00:00" maxDate="2026-08-31T00:00:00" count="23">
        <d v="2026-07-20T00:00:00"/>
        <d v="2026-07-17T00:00:00"/>
        <d v="2026-07-05T00:00:00"/>
        <d v="2026-07-14T00:00:00"/>
        <d v="2026-05-29T00:00:00"/>
        <d v="2026-07-31T00:00:00"/>
        <d v="2026-06-09T00:00:00"/>
        <d v="2026-08-06T00:00:00"/>
        <d v="2026-08-27T00:00:00"/>
        <d v="2026-05-31T00:00:00"/>
        <d v="2026-07-09T00:00:00"/>
        <d v="2026-06-19T00:00:00"/>
        <d v="2026-07-08T00:00:00"/>
        <d v="2026-06-29T00:00:00"/>
        <d v="2026-07-29T00:00:00"/>
        <d v="2026-06-05T00:00:00"/>
        <d v="2026-08-30T00:00:00"/>
        <d v="2026-08-14T00:00:00"/>
        <d v="2026-08-26T00:00:00"/>
        <d v="2026-08-18T00:00:00"/>
        <d v="2026-06-26T00:00:00"/>
        <d v="2026-08-17T00:00:00"/>
        <d v="2026-06-10T00:00:00"/>
      </sharedItems>
      <fieldGroup par="8" base="0">
        <rangePr groupBy="days" startDate="2026-05-29T00:00:00" endDate="2026-08-31T00:00:00"/>
        <groupItems count="368">
          <s v="&lt;29/05/2026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31/08/2026"/>
        </groupItems>
      </fieldGroup>
    </cacheField>
    <cacheField name="FORNECEDOR" numFmtId="0">
      <sharedItems containsBlank="1"/>
    </cacheField>
    <cacheField name="DESCRIÇÃO" numFmtId="0">
      <sharedItems containsBlank="1"/>
    </cacheField>
    <cacheField name="VALOR A PAGAR" numFmtId="44">
      <sharedItems containsString="0" containsBlank="1" containsNumber="1" containsInteger="1" minValue="35608" maxValue="498749"/>
    </cacheField>
    <cacheField name="STATUS" numFmtId="0">
      <sharedItems count="3">
        <s v="PENDENTE"/>
        <s v="PAGO"/>
        <s v="ATRASADO"/>
      </sharedItems>
    </cacheField>
    <cacheField name="DATA DE PAGAMENTO" numFmtId="14">
      <sharedItems containsNonDate="0" containsDate="1" containsString="0" containsBlank="1" minDate="2026-05-31T00:00:00" maxDate="2026-08-28T00:00:00"/>
    </cacheField>
    <cacheField name="TIPO DE PAGAMENTO" numFmtId="0">
      <sharedItems containsBlank="1"/>
    </cacheField>
    <cacheField name="CENTRO DE CUSTO" numFmtId="0">
      <sharedItems containsBlank="1"/>
    </cacheField>
    <cacheField name="Meses" numFmtId="0" databaseField="0">
      <fieldGroup base="0">
        <rangePr groupBy="months" startDate="2026-05-29T00:00:00" endDate="2026-08-31T00:00:00"/>
        <groupItems count="14">
          <s v="&lt;29/05/2026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31/08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HP" refreshedDate="46223.91233298611" createdVersion="6" refreshedVersion="6" minRefreshableVersion="3" recordCount="25">
  <cacheSource type="worksheet">
    <worksheetSource name="Tabela4"/>
  </cacheSource>
  <cacheFields count="9">
    <cacheField name="DATA DE VENCIMENTO" numFmtId="14">
      <sharedItems containsSemiMixedTypes="0" containsNonDate="0" containsDate="1" containsString="0" minDate="2026-05-25T00:00:00" maxDate="2026-09-17T00:00:00" count="24">
        <d v="2026-07-20T00:00:00"/>
        <d v="2026-09-16T00:00:00"/>
        <d v="2026-08-23T00:00:00"/>
        <d v="2026-05-27T00:00:00"/>
        <d v="2026-09-08T00:00:00"/>
        <d v="2026-08-27T00:00:00"/>
        <d v="2026-05-25T00:00:00"/>
        <d v="2026-07-25T00:00:00"/>
        <d v="2026-09-13T00:00:00"/>
        <d v="2026-09-15T00:00:00"/>
        <d v="2026-09-02T00:00:00"/>
        <d v="2026-06-04T00:00:00"/>
        <d v="2026-08-13T00:00:00"/>
        <d v="2026-07-16T00:00:00"/>
        <d v="2026-08-20T00:00:00"/>
        <d v="2026-06-06T00:00:00"/>
        <d v="2026-07-05T00:00:00"/>
        <d v="2026-05-28T00:00:00"/>
        <d v="2026-09-10T00:00:00"/>
        <d v="2026-08-29T00:00:00"/>
        <d v="2026-07-29T00:00:00"/>
        <d v="2026-08-14T00:00:00"/>
        <d v="2026-06-12T00:00:00"/>
        <d v="2026-06-03T00:00:00"/>
      </sharedItems>
      <fieldGroup par="8" base="0">
        <rangePr groupBy="days" startDate="2026-05-25T00:00:00" endDate="2026-09-17T00:00:00"/>
        <groupItems count="368">
          <s v="&lt;25/05/2026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17/09/2026"/>
        </groupItems>
      </fieldGroup>
    </cacheField>
    <cacheField name="CLIENTE" numFmtId="0">
      <sharedItems containsBlank="1"/>
    </cacheField>
    <cacheField name="DESCRIÇÃO" numFmtId="0">
      <sharedItems containsBlank="1"/>
    </cacheField>
    <cacheField name="VALOR A PAGAR" numFmtId="44">
      <sharedItems containsString="0" containsBlank="1" containsNumber="1" containsInteger="1" minValue="12266" maxValue="1468989"/>
    </cacheField>
    <cacheField name="STATUS" numFmtId="0">
      <sharedItems count="3">
        <s v="PAGO"/>
        <s v="PENDENTE"/>
        <s v="ATRASADO"/>
      </sharedItems>
    </cacheField>
    <cacheField name="DATA DE PAGAMENTO" numFmtId="14">
      <sharedItems containsNonDate="0" containsDate="1" containsString="0" containsBlank="1" minDate="2026-05-25T00:00:00" maxDate="2026-09-17T00:00:00"/>
    </cacheField>
    <cacheField name="TIPO DE PAGAMENTO" numFmtId="0">
      <sharedItems containsBlank="1"/>
    </cacheField>
    <cacheField name="CENTRO DE CUSTO" numFmtId="0">
      <sharedItems containsBlank="1"/>
    </cacheField>
    <cacheField name="Meses" numFmtId="0" databaseField="0">
      <fieldGroup base="0">
        <rangePr groupBy="months" startDate="2026-05-25T00:00:00" endDate="2026-09-17T00:00:00"/>
        <groupItems count="14">
          <s v="&lt;25/05/2026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7/09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7">
  <r>
    <x v="0"/>
    <m/>
    <m/>
    <m/>
    <x v="0"/>
    <m/>
    <m/>
    <m/>
  </r>
  <r>
    <x v="1"/>
    <s v="Gráfica Rápida"/>
    <s v="Conta de Luz"/>
    <n v="217311"/>
    <x v="1"/>
    <d v="2026-07-13T00:00:00"/>
    <s v="Cartão de Crédito"/>
    <s v="RH"/>
  </r>
  <r>
    <x v="2"/>
    <s v="Aluguel Imóveis"/>
    <s v="Hospedagem de Site"/>
    <n v="452135"/>
    <x v="1"/>
    <d v="2026-07-20T00:00:00"/>
    <m/>
    <s v="Marketing"/>
  </r>
  <r>
    <x v="3"/>
    <s v="Consultoria XPTO"/>
    <s v="Material de Escritório"/>
    <n v="155331"/>
    <x v="1"/>
    <d v="2026-07-15T00:00:00"/>
    <s v="Boleto"/>
    <s v="Vendas"/>
  </r>
  <r>
    <x v="4"/>
    <s v="Limpeza &amp; Cia"/>
    <s v="Assinatura de Software"/>
    <n v="65169"/>
    <x v="2"/>
    <m/>
    <m/>
    <s v="RH"/>
  </r>
  <r>
    <x v="5"/>
    <s v="Energia S.A."/>
    <s v="Seguro Predial"/>
    <n v="190566"/>
    <x v="0"/>
    <m/>
    <m/>
    <s v="Operacional"/>
  </r>
  <r>
    <x v="6"/>
    <s v="AWS Amazon"/>
    <s v="Manutenção de Ar-condicionado"/>
    <n v="269948"/>
    <x v="1"/>
    <d v="2026-07-20T00:00:00"/>
    <m/>
    <s v="RH"/>
  </r>
  <r>
    <x v="7"/>
    <s v="Limpeza &amp; Cia"/>
    <s v="Campanha de Marketing"/>
    <n v="498749"/>
    <x v="1"/>
    <d v="2026-08-01T00:00:00"/>
    <s v="Boleto"/>
    <s v="Administrativo"/>
  </r>
  <r>
    <x v="8"/>
    <s v="AWS Amazon"/>
    <s v="Seguro Predial"/>
    <n v="316793"/>
    <x v="1"/>
    <d v="2026-08-27T00:00:00"/>
    <s v="Pix"/>
    <s v="Marketing"/>
  </r>
  <r>
    <x v="9"/>
    <s v="Papelaria Silva"/>
    <s v="Conta de Luz"/>
    <n v="249298"/>
    <x v="1"/>
    <d v="2026-06-01T00:00:00"/>
    <s v="Cartão de Crédito"/>
    <s v="RH"/>
  </r>
  <r>
    <x v="10"/>
    <s v="Aluguel Imóveis"/>
    <s v="Serviços de Consultoria"/>
    <n v="331687"/>
    <x v="2"/>
    <m/>
    <s v="Transferência Bancária"/>
    <s v="TI"/>
  </r>
  <r>
    <x v="11"/>
    <s v="Aluguel Imóveis"/>
    <s v="Conta de Luz"/>
    <n v="128638"/>
    <x v="2"/>
    <m/>
    <m/>
    <s v="Vendas"/>
  </r>
  <r>
    <x v="1"/>
    <s v="Aluguel Imóveis"/>
    <s v="Assinatura de Software"/>
    <n v="256332"/>
    <x v="2"/>
    <m/>
    <m/>
    <s v="TI"/>
  </r>
  <r>
    <x v="12"/>
    <s v="Limpeza &amp; Cia"/>
    <s v="Insumos de Produção"/>
    <n v="407113"/>
    <x v="1"/>
    <d v="2026-07-03T00:00:00"/>
    <s v="Pix"/>
    <s v="TI"/>
  </r>
  <r>
    <x v="13"/>
    <s v="Papelaria Silva"/>
    <s v="Insumos de Produção"/>
    <n v="474394"/>
    <x v="1"/>
    <d v="2026-06-26T00:00:00"/>
    <s v="Pix"/>
    <s v="Marketing"/>
  </r>
  <r>
    <x v="14"/>
    <s v="Energia S.A."/>
    <s v="Material de Escritório"/>
    <n v="35608"/>
    <x v="1"/>
    <d v="2026-07-29T00:00:00"/>
    <s v="Transferência Bancária"/>
    <s v="Financeiro"/>
  </r>
  <r>
    <x v="15"/>
    <s v="Energia S.A."/>
    <s v="Seguro Predial"/>
    <n v="457593"/>
    <x v="1"/>
    <d v="2026-05-31T00:00:00"/>
    <s v="Cartão de Crédito"/>
    <s v="RH"/>
  </r>
  <r>
    <x v="16"/>
    <s v="Seguros Porto"/>
    <s v="Limpeza Mensal"/>
    <n v="306694"/>
    <x v="0"/>
    <m/>
    <m/>
    <s v="RH"/>
  </r>
  <r>
    <x v="12"/>
    <s v="Gráfica Rápida"/>
    <s v="Material de Escritório"/>
    <n v="479918"/>
    <x v="2"/>
    <m/>
    <m/>
    <s v="TI"/>
  </r>
  <r>
    <x v="17"/>
    <s v="Papelaria Silva"/>
    <s v="Manutenção de Ar-condicionado"/>
    <n v="357209"/>
    <x v="1"/>
    <d v="2026-07-20T00:00:00"/>
    <m/>
    <s v="Vendas"/>
  </r>
  <r>
    <x v="18"/>
    <s v="Aluguel Imóveis"/>
    <s v="Material de Escritório"/>
    <n v="227667"/>
    <x v="1"/>
    <d v="2026-08-24T00:00:00"/>
    <s v="Pix"/>
    <s v="Financeiro"/>
  </r>
  <r>
    <x v="19"/>
    <s v="Gráfica Rápida"/>
    <s v="Material de Escritório"/>
    <n v="276131"/>
    <x v="1"/>
    <d v="2026-08-20T00:00:00"/>
    <s v="Cartão de Crédito"/>
    <s v="Marketing"/>
  </r>
  <r>
    <x v="17"/>
    <s v="Aluguel Imóveis"/>
    <s v="Limpeza Mensal"/>
    <n v="486368"/>
    <x v="1"/>
    <d v="2026-08-10T00:00:00"/>
    <s v="Boleto"/>
    <s v="RH"/>
  </r>
  <r>
    <x v="20"/>
    <s v="Internet Fibra"/>
    <s v="Hospedagem de Site"/>
    <n v="497059"/>
    <x v="1"/>
    <d v="2026-07-20T00:00:00"/>
    <m/>
    <s v="Operacional"/>
  </r>
  <r>
    <x v="21"/>
    <s v="Internet Fibra"/>
    <s v="Manutenção de Ar-condicionado"/>
    <n v="472564"/>
    <x v="1"/>
    <d v="2026-08-16T00:00:00"/>
    <s v="Cartão de Crédito"/>
    <s v="Financeiro"/>
  </r>
  <r>
    <x v="22"/>
    <s v="Consultoria XPTO"/>
    <s v="Serviços de Consultoria"/>
    <n v="290965"/>
    <x v="2"/>
    <m/>
    <m/>
    <s v="Administrativo"/>
  </r>
  <r>
    <x v="1"/>
    <s v="Papelaria Silva"/>
    <s v="Insumos de Produção"/>
    <n v="393238"/>
    <x v="2"/>
    <m/>
    <m/>
    <s v="RH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5">
  <r>
    <x v="0"/>
    <m/>
    <m/>
    <m/>
    <x v="0"/>
    <d v="2026-07-20T00:00:00"/>
    <m/>
    <m/>
  </r>
  <r>
    <x v="1"/>
    <s v="Varejo Global"/>
    <s v="Suporte Premium"/>
    <n v="99157"/>
    <x v="0"/>
    <d v="2026-07-20T00:00:00"/>
    <m/>
    <s v="Financeiro"/>
  </r>
  <r>
    <x v="2"/>
    <s v="Construtora Alfa"/>
    <s v="Projeto de Software"/>
    <n v="1137025"/>
    <x v="0"/>
    <d v="2026-08-21T00:00:00"/>
    <s v="Boleto"/>
    <s v="TI"/>
  </r>
  <r>
    <x v="3"/>
    <s v="Supermercado Real"/>
    <s v="Venda de Equipamento"/>
    <n v="1001343"/>
    <x v="0"/>
    <d v="2026-05-25T00:00:00"/>
    <s v="Pix"/>
    <s v="Financeiro"/>
  </r>
  <r>
    <x v="4"/>
    <s v="João Silva"/>
    <s v="Manutenção de Sistema"/>
    <n v="374734"/>
    <x v="0"/>
    <d v="2026-07-20T00:00:00"/>
    <m/>
    <s v="Administrativo"/>
  </r>
  <r>
    <x v="5"/>
    <s v="Academia Fit"/>
    <s v="Venda de Licença"/>
    <n v="971237"/>
    <x v="0"/>
    <d v="2026-08-23T00:00:00"/>
    <s v="Cartão de Crédito"/>
    <s v="Administrativo"/>
  </r>
  <r>
    <x v="6"/>
    <s v="Escola Aprender"/>
    <s v="Desenvolvimento de Site"/>
    <n v="1282241"/>
    <x v="0"/>
    <d v="2026-05-27T00:00:00"/>
    <s v="Transferência Bancária"/>
    <s v="Financeiro"/>
  </r>
  <r>
    <x v="7"/>
    <s v="Supermercado Real"/>
    <s v="Projeto de Software"/>
    <n v="278593"/>
    <x v="0"/>
    <d v="2026-07-20T00:00:00"/>
    <m/>
    <s v="Marketing"/>
  </r>
  <r>
    <x v="8"/>
    <s v="Supermercado Real"/>
    <s v="Venda de Licença"/>
    <n v="1293239"/>
    <x v="1"/>
    <m/>
    <s v="Cartão de Crédito"/>
    <s v="Vendas"/>
  </r>
  <r>
    <x v="9"/>
    <s v="Hospital Vida"/>
    <s v="Consultoria Técnica"/>
    <n v="12266"/>
    <x v="0"/>
    <d v="2026-09-16T00:00:00"/>
    <s v="Boleto"/>
    <s v="Operacional"/>
  </r>
  <r>
    <x v="10"/>
    <s v="Escola Aprender"/>
    <s v="Manutenção de Sistema"/>
    <n v="147901"/>
    <x v="0"/>
    <d v="2026-08-29T00:00:00"/>
    <s v="Cartão de Crédito"/>
    <s v="Administrativo"/>
  </r>
  <r>
    <x v="11"/>
    <s v="Restaurante Sabor"/>
    <s v="Manutenção de Sistema"/>
    <n v="561159"/>
    <x v="2"/>
    <m/>
    <m/>
    <s v="RH"/>
  </r>
  <r>
    <x v="12"/>
    <s v="Tech Solutions Ltda"/>
    <s v="Prestação de Serviço Mensal"/>
    <n v="71884"/>
    <x v="0"/>
    <d v="2026-08-15T00:00:00"/>
    <s v="Boleto"/>
    <s v="Financeiro"/>
  </r>
  <r>
    <x v="0"/>
    <s v="Tech Solutions Ltda"/>
    <s v="Suporte Premium"/>
    <n v="44260"/>
    <x v="0"/>
    <d v="2026-07-18T00:00:00"/>
    <s v="Transferência Bancária"/>
    <s v="Operacional"/>
  </r>
  <r>
    <x v="13"/>
    <s v="Hospital Vida"/>
    <s v="Desenvolvimento de Site"/>
    <n v="607481"/>
    <x v="0"/>
    <d v="2026-07-17T00:00:00"/>
    <s v="Transferência Bancária"/>
    <s v="Administrativo"/>
  </r>
  <r>
    <x v="14"/>
    <s v="Maria Oliveira"/>
    <s v="Prestação de Serviço Mensal"/>
    <n v="1337831"/>
    <x v="1"/>
    <m/>
    <m/>
    <s v="TI"/>
  </r>
  <r>
    <x v="15"/>
    <s v="Construtora Alfa"/>
    <s v="Curso de Treinamento"/>
    <n v="522722"/>
    <x v="0"/>
    <d v="2026-06-08T00:00:00"/>
    <s v="Pix"/>
    <s v="Financeiro"/>
  </r>
  <r>
    <x v="16"/>
    <s v="Escola Aprender"/>
    <s v="Venda de Equipamento"/>
    <n v="922892"/>
    <x v="0"/>
    <d v="2026-07-04T00:00:00"/>
    <s v="Transferência Bancária"/>
    <s v="Operacional"/>
  </r>
  <r>
    <x v="17"/>
    <s v="Supermercado Real"/>
    <s v="Suporte Premium"/>
    <n v="1393655"/>
    <x v="0"/>
    <d v="2026-05-30T00:00:00"/>
    <s v="Boleto"/>
    <s v="RH"/>
  </r>
  <r>
    <x v="18"/>
    <s v="Varejo Global"/>
    <s v="Venda de Equipamento"/>
    <n v="377976"/>
    <x v="0"/>
    <d v="2026-07-20T00:00:00"/>
    <m/>
    <s v="TI"/>
  </r>
  <r>
    <x v="19"/>
    <s v="Construtora Alfa"/>
    <s v="Projeto de Software"/>
    <n v="1468989"/>
    <x v="0"/>
    <d v="2026-07-20T00:00:00"/>
    <m/>
    <s v="Financeiro"/>
  </r>
  <r>
    <x v="20"/>
    <s v="Escola Aprender"/>
    <s v="Venda de Equipamento"/>
    <n v="643132"/>
    <x v="0"/>
    <d v="2026-07-28T00:00:00"/>
    <s v="Transferência Bancária"/>
    <s v="TI"/>
  </r>
  <r>
    <x v="21"/>
    <s v="Supermercado Real"/>
    <s v="Venda de Equipamento"/>
    <n v="890403"/>
    <x v="0"/>
    <d v="2026-07-20T00:00:00"/>
    <m/>
    <s v="RH"/>
  </r>
  <r>
    <x v="22"/>
    <s v="Tech Solutions Ltda"/>
    <s v="Prestação de Serviço Mensal"/>
    <n v="159442"/>
    <x v="2"/>
    <m/>
    <m/>
    <s v="Marketing"/>
  </r>
  <r>
    <x v="23"/>
    <s v="Restaurante Sabor"/>
    <s v="Prestação de Serviço Mensal"/>
    <n v="955553"/>
    <x v="2"/>
    <m/>
    <m/>
    <s v="Financeir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4" cacheId="35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H4:L11" firstHeaderRow="1" firstDataRow="2" firstDataCol="1"/>
  <pivotFields count="9">
    <pivotField axis="axisRow"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/>
    <pivotField showAll="0"/>
    <pivotField dataField="1" showAll="0"/>
    <pivotField axis="axisCol" showAll="0">
      <items count="4">
        <item x="0"/>
        <item x="1"/>
        <item x="2"/>
        <item t="default"/>
      </items>
    </pivotField>
    <pivotField numFmtId="14" showAll="0"/>
    <pivotField showAll="0"/>
    <pivotField showAll="0"/>
    <pivotField axis="axisRow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</pivotFields>
  <rowFields count="2">
    <field x="8"/>
    <field x="0"/>
  </rowFields>
  <rowItems count="6">
    <i>
      <x v="5"/>
    </i>
    <i>
      <x v="6"/>
    </i>
    <i>
      <x v="7"/>
    </i>
    <i>
      <x v="8"/>
    </i>
    <i>
      <x v="9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dataFields count="1">
    <dataField name="Soma de VALOR A PAGAR" fld="3" baseField="8" baseItem="5" numFmtId="44"/>
  </dataFields>
  <formats count="11">
    <format dxfId="88">
      <pivotArea type="all" dataOnly="0" outline="0" fieldPosition="0"/>
    </format>
    <format dxfId="87">
      <pivotArea outline="0" collapsedLevelsAreSubtotals="1" fieldPosition="0"/>
    </format>
    <format dxfId="86">
      <pivotArea type="origin" dataOnly="0" labelOnly="1" outline="0" fieldPosition="0"/>
    </format>
    <format dxfId="85">
      <pivotArea field="4" type="button" dataOnly="0" labelOnly="1" outline="0" axis="axisCol" fieldPosition="0"/>
    </format>
    <format dxfId="84">
      <pivotArea type="topRight" dataOnly="0" labelOnly="1" outline="0" fieldPosition="0"/>
    </format>
    <format dxfId="83">
      <pivotArea field="8" type="button" dataOnly="0" labelOnly="1" outline="0" axis="axisRow" fieldPosition="0"/>
    </format>
    <format dxfId="82">
      <pivotArea dataOnly="0" labelOnly="1" fieldPosition="0">
        <references count="1">
          <reference field="8" count="5">
            <x v="5"/>
            <x v="6"/>
            <x v="7"/>
            <x v="8"/>
            <x v="9"/>
          </reference>
        </references>
      </pivotArea>
    </format>
    <format dxfId="81">
      <pivotArea dataOnly="0" labelOnly="1" grandRow="1" outline="0" fieldPosition="0"/>
    </format>
    <format dxfId="80">
      <pivotArea dataOnly="0" labelOnly="1" fieldPosition="0">
        <references count="1">
          <reference field="4" count="0"/>
        </references>
      </pivotArea>
    </format>
    <format dxfId="79">
      <pivotArea dataOnly="0" labelOnly="1" grandCol="1" outline="0" fieldPosition="0"/>
    </format>
    <format dxfId="66">
      <pivotArea type="all" dataOnly="0" outline="0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ela dinâmica2" cacheId="3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B4:F10" firstHeaderRow="1" firstDataRow="2" firstDataCol="1"/>
  <pivotFields count="9">
    <pivotField axis="axisRow"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/>
    <pivotField showAll="0"/>
    <pivotField dataField="1" showAll="0"/>
    <pivotField axis="axisCol" showAll="0">
      <items count="4">
        <item x="1"/>
        <item x="0"/>
        <item x="2"/>
        <item t="default"/>
      </items>
    </pivotField>
    <pivotField numFmtId="14" showAll="0"/>
    <pivotField showAll="0"/>
    <pivotField showAll="0"/>
    <pivotField axis="axisRow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</pivotFields>
  <rowFields count="2">
    <field x="8"/>
    <field x="0"/>
  </rowFields>
  <rowItems count="5">
    <i>
      <x v="5"/>
    </i>
    <i>
      <x v="6"/>
    </i>
    <i>
      <x v="7"/>
    </i>
    <i>
      <x v="8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dataFields count="1">
    <dataField name="Soma de VALOR A PAGAR" fld="3" baseField="8" baseItem="5" numFmtId="164"/>
  </dataFields>
  <formats count="40">
    <format dxfId="116">
      <pivotArea type="origin" dataOnly="0" labelOnly="1" outline="0" fieldPosition="0"/>
    </format>
    <format dxfId="115">
      <pivotArea type="all" dataOnly="0" outline="0" fieldPosition="0"/>
    </format>
    <format dxfId="114">
      <pivotArea outline="0" collapsedLevelsAreSubtotals="1" fieldPosition="0"/>
    </format>
    <format dxfId="113">
      <pivotArea type="origin" dataOnly="0" labelOnly="1" outline="0" fieldPosition="0"/>
    </format>
    <format dxfId="112">
      <pivotArea field="4" type="button" dataOnly="0" labelOnly="1" outline="0" axis="axisCol" fieldPosition="0"/>
    </format>
    <format dxfId="111">
      <pivotArea type="topRight" dataOnly="0" labelOnly="1" outline="0" fieldPosition="0"/>
    </format>
    <format dxfId="110">
      <pivotArea field="8" type="button" dataOnly="0" labelOnly="1" outline="0" axis="axisRow" fieldPosition="0"/>
    </format>
    <format dxfId="109">
      <pivotArea dataOnly="0" labelOnly="1" grandRow="1" outline="0" fieldPosition="0"/>
    </format>
    <format dxfId="108">
      <pivotArea dataOnly="0" labelOnly="1" fieldPosition="0">
        <references count="1">
          <reference field="4" count="0"/>
        </references>
      </pivotArea>
    </format>
    <format dxfId="107">
      <pivotArea dataOnly="0" labelOnly="1" grandCol="1" outline="0" fieldPosition="0"/>
    </format>
    <format dxfId="106">
      <pivotArea type="all" dataOnly="0" outline="0" fieldPosition="0"/>
    </format>
    <format dxfId="105">
      <pivotArea outline="0" collapsedLevelsAreSubtotals="1" fieldPosition="0"/>
    </format>
    <format dxfId="104">
      <pivotArea type="origin" dataOnly="0" labelOnly="1" outline="0" fieldPosition="0"/>
    </format>
    <format dxfId="103">
      <pivotArea field="4" type="button" dataOnly="0" labelOnly="1" outline="0" axis="axisCol" fieldPosition="0"/>
    </format>
    <format dxfId="102">
      <pivotArea type="topRight" dataOnly="0" labelOnly="1" outline="0" fieldPosition="0"/>
    </format>
    <format dxfId="101">
      <pivotArea field="8" type="button" dataOnly="0" labelOnly="1" outline="0" axis="axisRow" fieldPosition="0"/>
    </format>
    <format dxfId="100">
      <pivotArea dataOnly="0" labelOnly="1" grandRow="1" outline="0" fieldPosition="0"/>
    </format>
    <format dxfId="99">
      <pivotArea dataOnly="0" labelOnly="1" fieldPosition="0">
        <references count="1">
          <reference field="4" count="0"/>
        </references>
      </pivotArea>
    </format>
    <format dxfId="98">
      <pivotArea dataOnly="0" labelOnly="1" grandCol="1" outline="0" fieldPosition="0"/>
    </format>
    <format dxfId="97">
      <pivotArea type="all" dataOnly="0" outline="0" fieldPosition="0"/>
    </format>
    <format dxfId="96">
      <pivotArea outline="0" collapsedLevelsAreSubtotals="1" fieldPosition="0"/>
    </format>
    <format dxfId="95">
      <pivotArea type="origin" dataOnly="0" labelOnly="1" outline="0" fieldPosition="0"/>
    </format>
    <format dxfId="94">
      <pivotArea field="4" type="button" dataOnly="0" labelOnly="1" outline="0" axis="axisCol" fieldPosition="0"/>
    </format>
    <format dxfId="93">
      <pivotArea type="topRight" dataOnly="0" labelOnly="1" outline="0" fieldPosition="0"/>
    </format>
    <format dxfId="92">
      <pivotArea field="8" type="button" dataOnly="0" labelOnly="1" outline="0" axis="axisRow" fieldPosition="0"/>
    </format>
    <format dxfId="91">
      <pivotArea dataOnly="0" labelOnly="1" grandRow="1" outline="0" fieldPosition="0"/>
    </format>
    <format dxfId="90">
      <pivotArea dataOnly="0" labelOnly="1" fieldPosition="0">
        <references count="1">
          <reference field="4" count="0"/>
        </references>
      </pivotArea>
    </format>
    <format dxfId="89">
      <pivotArea dataOnly="0" labelOnly="1" grandCol="1" outline="0" fieldPosition="0"/>
    </format>
    <format dxfId="78">
      <pivotArea type="all" dataOnly="0" outline="0" fieldPosition="0"/>
    </format>
    <format dxfId="77">
      <pivotArea collapsedLevelsAreSubtotals="1" fieldPosition="0">
        <references count="1">
          <reference field="8" count="1">
            <x v="5"/>
          </reference>
        </references>
      </pivotArea>
    </format>
    <format dxfId="76">
      <pivotArea collapsedLevelsAreSubtotals="1" fieldPosition="0">
        <references count="1">
          <reference field="8" count="1">
            <x v="6"/>
          </reference>
        </references>
      </pivotArea>
    </format>
    <format dxfId="75">
      <pivotArea collapsedLevelsAreSubtotals="1" fieldPosition="0">
        <references count="1">
          <reference field="8" count="1">
            <x v="7"/>
          </reference>
        </references>
      </pivotArea>
    </format>
    <format dxfId="74">
      <pivotArea collapsedLevelsAreSubtotals="1" fieldPosition="0">
        <references count="1">
          <reference field="8" count="1">
            <x v="8"/>
          </reference>
        </references>
      </pivotArea>
    </format>
    <format dxfId="73">
      <pivotArea type="origin" dataOnly="0" labelOnly="1" outline="0" fieldPosition="0"/>
    </format>
    <format dxfId="72">
      <pivotArea field="4" type="button" dataOnly="0" labelOnly="1" outline="0" axis="axisCol" fieldPosition="0"/>
    </format>
    <format dxfId="71">
      <pivotArea type="topRight" dataOnly="0" labelOnly="1" outline="0" fieldPosition="0"/>
    </format>
    <format dxfId="70">
      <pivotArea field="8" type="button" dataOnly="0" labelOnly="1" outline="0" axis="axisRow" fieldPosition="0"/>
    </format>
    <format dxfId="69">
      <pivotArea dataOnly="0" labelOnly="1" fieldPosition="0">
        <references count="1">
          <reference field="8" count="4">
            <x v="5"/>
            <x v="6"/>
            <x v="7"/>
            <x v="8"/>
          </reference>
        </references>
      </pivotArea>
    </format>
    <format dxfId="68">
      <pivotArea dataOnly="0" labelOnly="1" fieldPosition="0">
        <references count="1">
          <reference field="4" count="0"/>
        </references>
      </pivotArea>
    </format>
    <format dxfId="67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1" name="Tabela1" displayName="Tabela1" ref="B4:I31" headerRowDxfId="136" dataDxfId="135">
  <autoFilter ref="B4:I31"/>
  <tableColumns count="8">
    <tableColumn id="1" name="DATA DE VENCIMENTO" totalsRowLabel="Total" dataDxfId="134" totalsRowDxfId="119">
      <calculatedColumnFormula>TODAY()</calculatedColumnFormula>
    </tableColumn>
    <tableColumn id="2" name="FORNECEDOR" dataDxfId="133" totalsRowDxfId="120"/>
    <tableColumn id="3" name="DESCRIÇÃO" dataDxfId="129" totalsRowDxfId="121"/>
    <tableColumn id="4" name="VALOR A PAGAR" dataDxfId="127" totalsRowDxfId="122" dataCellStyle="Moeda"/>
    <tableColumn id="5" name="STATUS" dataDxfId="128" totalsRowDxfId="123">
      <calculatedColumnFormula>IF(G5&lt;&gt;"","PAGO",IF(B5&lt;TODAY(),"ATRASADO","PENDENTE"))</calculatedColumnFormula>
    </tableColumn>
    <tableColumn id="6" name="DATA DE PAGAMENTO" dataDxfId="132" totalsRowDxfId="124">
      <calculatedColumnFormula>TODAY()</calculatedColumnFormula>
    </tableColumn>
    <tableColumn id="7" name="TIPO DE PAGAMENTO" dataDxfId="131" totalsRowDxfId="125"/>
    <tableColumn id="8" name="CENTRO DE CUSTO" totalsRowFunction="count" dataDxfId="130" totalsRowDxfId="12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4" name="Tabela4" displayName="Tabela4" ref="B4:I29" totalsRowShown="0" headerRowDxfId="118" dataDxfId="57" tableBorderDxfId="117">
  <autoFilter ref="B4:I29"/>
  <tableColumns count="8">
    <tableColumn id="1" name="DATA DE VENCIMENTO" dataDxfId="65"/>
    <tableColumn id="2" name="CLIENTE" dataDxfId="64"/>
    <tableColumn id="3" name="DESCRIÇÃO" dataDxfId="63"/>
    <tableColumn id="4" name="VALOR A PAGAR" dataDxfId="62"/>
    <tableColumn id="5" name="STATUS" dataDxfId="61">
      <calculatedColumnFormula>IF(G5&lt;&gt;"","PAGO",IF(B5&lt;TODAY(),"ATRASADO","PENDENTE"))</calculatedColumnFormula>
    </tableColumn>
    <tableColumn id="6" name="DATA DE PAGAMENTO" dataDxfId="60"/>
    <tableColumn id="7" name="TIPO DE PAGAMENTO" dataDxfId="59"/>
    <tableColumn id="8" name="CENTRO DE CUSTO" dataDxfId="58"/>
  </tableColumns>
  <tableStyleInfo name="TableStyleMedium2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1"/>
  <sheetViews>
    <sheetView tabSelected="1" zoomScale="70" zoomScaleNormal="70" workbookViewId="0">
      <selection activeCell="D24" sqref="B5:I31"/>
    </sheetView>
  </sheetViews>
  <sheetFormatPr defaultRowHeight="15" x14ac:dyDescent="0.25"/>
  <cols>
    <col min="2" max="2" width="40.140625" bestFit="1" customWidth="1"/>
    <col min="3" max="3" width="28.140625" bestFit="1" customWidth="1"/>
    <col min="4" max="4" width="24.85546875" bestFit="1" customWidth="1"/>
    <col min="5" max="5" width="31.85546875" style="6" bestFit="1" customWidth="1"/>
    <col min="6" max="6" width="20.42578125" bestFit="1" customWidth="1"/>
    <col min="7" max="7" width="39.42578125" bestFit="1" customWidth="1"/>
    <col min="8" max="8" width="30.42578125" customWidth="1"/>
    <col min="9" max="9" width="27.5703125" customWidth="1"/>
  </cols>
  <sheetData>
    <row r="1" spans="1:9" s="2" customFormat="1" ht="47.25" customHeight="1" x14ac:dyDescent="0.7">
      <c r="A1" s="1" t="s">
        <v>1</v>
      </c>
      <c r="E1" s="7"/>
    </row>
    <row r="4" spans="1:9" x14ac:dyDescent="0.25">
      <c r="B4" s="3" t="s">
        <v>3</v>
      </c>
      <c r="C4" s="3" t="s">
        <v>4</v>
      </c>
      <c r="D4" s="3" t="s">
        <v>5</v>
      </c>
      <c r="E4" s="9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spans="1:9" x14ac:dyDescent="0.25">
      <c r="B5" s="4">
        <f ca="1">TODAY()</f>
        <v>46223</v>
      </c>
      <c r="C5" s="3"/>
      <c r="D5" s="3"/>
      <c r="F5" s="3" t="str">
        <f ca="1">IF(G5&lt;&gt;"","PAGO",IF(B5&lt;TODAY(),"ATRASADO","PENDENTE"))</f>
        <v>PENDENTE</v>
      </c>
      <c r="G5" s="4"/>
      <c r="H5" s="3"/>
      <c r="I5" s="3"/>
    </row>
    <row r="6" spans="1:9" x14ac:dyDescent="0.25">
      <c r="B6" s="4">
        <v>46220</v>
      </c>
      <c r="C6" s="5" t="s">
        <v>12</v>
      </c>
      <c r="D6" s="5" t="s">
        <v>13</v>
      </c>
      <c r="E6" s="6">
        <v>217311</v>
      </c>
      <c r="F6" s="3" t="str">
        <f t="shared" ref="F6:F31" ca="1" si="0">IF(G6&lt;&gt;"","PAGO",IF(B6&lt;TODAY(),"ATRASADO","PENDENTE"))</f>
        <v>PAGO</v>
      </c>
      <c r="G6" s="4">
        <v>46216</v>
      </c>
      <c r="H6" s="5" t="s">
        <v>14</v>
      </c>
      <c r="I6" s="5" t="s">
        <v>15</v>
      </c>
    </row>
    <row r="7" spans="1:9" x14ac:dyDescent="0.25">
      <c r="B7" s="4">
        <v>46208</v>
      </c>
      <c r="C7" s="5" t="s">
        <v>16</v>
      </c>
      <c r="D7" s="5" t="s">
        <v>17</v>
      </c>
      <c r="E7" s="6">
        <v>452135</v>
      </c>
      <c r="F7" s="3" t="str">
        <f t="shared" ca="1" si="0"/>
        <v>PAGO</v>
      </c>
      <c r="G7" s="4">
        <f ca="1">TODAY()</f>
        <v>46223</v>
      </c>
      <c r="H7" s="5"/>
      <c r="I7" s="5" t="s">
        <v>18</v>
      </c>
    </row>
    <row r="8" spans="1:9" x14ac:dyDescent="0.25">
      <c r="B8" s="4">
        <v>46217</v>
      </c>
      <c r="C8" s="5" t="s">
        <v>19</v>
      </c>
      <c r="D8" s="5" t="s">
        <v>20</v>
      </c>
      <c r="E8" s="6">
        <v>155331</v>
      </c>
      <c r="F8" s="3" t="str">
        <f t="shared" ca="1" si="0"/>
        <v>PAGO</v>
      </c>
      <c r="G8" s="4">
        <v>46218</v>
      </c>
      <c r="H8" s="5" t="s">
        <v>21</v>
      </c>
      <c r="I8" s="5" t="s">
        <v>22</v>
      </c>
    </row>
    <row r="9" spans="1:9" x14ac:dyDescent="0.25">
      <c r="B9" s="4">
        <v>46171</v>
      </c>
      <c r="C9" s="5" t="s">
        <v>23</v>
      </c>
      <c r="D9" s="5" t="s">
        <v>24</v>
      </c>
      <c r="E9" s="6">
        <v>65169</v>
      </c>
      <c r="F9" s="3" t="str">
        <f t="shared" ca="1" si="0"/>
        <v>ATRASADO</v>
      </c>
      <c r="G9" s="4"/>
      <c r="H9" s="5"/>
      <c r="I9" s="5" t="s">
        <v>15</v>
      </c>
    </row>
    <row r="10" spans="1:9" x14ac:dyDescent="0.25">
      <c r="B10" s="4">
        <v>46234</v>
      </c>
      <c r="C10" s="5" t="s">
        <v>25</v>
      </c>
      <c r="D10" s="5" t="s">
        <v>26</v>
      </c>
      <c r="E10" s="6">
        <v>190566</v>
      </c>
      <c r="F10" s="3" t="str">
        <f t="shared" ca="1" si="0"/>
        <v>PENDENTE</v>
      </c>
      <c r="G10" s="4"/>
      <c r="H10" s="5"/>
      <c r="I10" s="5" t="s">
        <v>27</v>
      </c>
    </row>
    <row r="11" spans="1:9" x14ac:dyDescent="0.25">
      <c r="B11" s="4">
        <v>46182</v>
      </c>
      <c r="C11" s="5" t="s">
        <v>28</v>
      </c>
      <c r="D11" s="5" t="s">
        <v>29</v>
      </c>
      <c r="E11" s="6">
        <v>269948</v>
      </c>
      <c r="F11" s="3" t="str">
        <f t="shared" ca="1" si="0"/>
        <v>PAGO</v>
      </c>
      <c r="G11" s="4">
        <f t="shared" ref="G9:G11" ca="1" si="1">TODAY()</f>
        <v>46223</v>
      </c>
      <c r="H11" s="5"/>
      <c r="I11" s="5" t="s">
        <v>15</v>
      </c>
    </row>
    <row r="12" spans="1:9" x14ac:dyDescent="0.25">
      <c r="B12" s="4">
        <v>46240</v>
      </c>
      <c r="C12" s="5" t="s">
        <v>23</v>
      </c>
      <c r="D12" s="5" t="s">
        <v>30</v>
      </c>
      <c r="E12" s="6">
        <v>498749</v>
      </c>
      <c r="F12" s="3" t="str">
        <f t="shared" ca="1" si="0"/>
        <v>PAGO</v>
      </c>
      <c r="G12" s="4">
        <v>46235</v>
      </c>
      <c r="H12" s="5" t="s">
        <v>21</v>
      </c>
      <c r="I12" s="5" t="s">
        <v>31</v>
      </c>
    </row>
    <row r="13" spans="1:9" x14ac:dyDescent="0.25">
      <c r="B13" s="4">
        <v>46261</v>
      </c>
      <c r="C13" s="5" t="s">
        <v>28</v>
      </c>
      <c r="D13" s="5" t="s">
        <v>26</v>
      </c>
      <c r="E13" s="6">
        <v>316793</v>
      </c>
      <c r="F13" s="3" t="str">
        <f t="shared" ca="1" si="0"/>
        <v>PAGO</v>
      </c>
      <c r="G13" s="4">
        <v>46261</v>
      </c>
      <c r="H13" s="5" t="s">
        <v>32</v>
      </c>
      <c r="I13" s="5" t="s">
        <v>18</v>
      </c>
    </row>
    <row r="14" spans="1:9" x14ac:dyDescent="0.25">
      <c r="B14" s="4">
        <v>46173</v>
      </c>
      <c r="C14" s="5" t="s">
        <v>33</v>
      </c>
      <c r="D14" s="5" t="s">
        <v>13</v>
      </c>
      <c r="E14" s="6">
        <v>249298</v>
      </c>
      <c r="F14" s="3" t="str">
        <f t="shared" ca="1" si="0"/>
        <v>PAGO</v>
      </c>
      <c r="G14" s="4">
        <v>46174</v>
      </c>
      <c r="H14" s="5" t="s">
        <v>14</v>
      </c>
      <c r="I14" s="5" t="s">
        <v>15</v>
      </c>
    </row>
    <row r="15" spans="1:9" x14ac:dyDescent="0.25">
      <c r="B15" s="4">
        <v>46212</v>
      </c>
      <c r="C15" s="5" t="s">
        <v>16</v>
      </c>
      <c r="D15" s="5" t="s">
        <v>34</v>
      </c>
      <c r="E15" s="6">
        <v>331687</v>
      </c>
      <c r="F15" s="3" t="str">
        <f t="shared" ca="1" si="0"/>
        <v>ATRASADO</v>
      </c>
      <c r="G15" s="4"/>
      <c r="H15" s="5" t="s">
        <v>35</v>
      </c>
      <c r="I15" s="5" t="s">
        <v>36</v>
      </c>
    </row>
    <row r="16" spans="1:9" x14ac:dyDescent="0.25">
      <c r="B16" s="4">
        <v>46192</v>
      </c>
      <c r="C16" s="5" t="s">
        <v>16</v>
      </c>
      <c r="D16" s="5" t="s">
        <v>13</v>
      </c>
      <c r="E16" s="6">
        <v>128638</v>
      </c>
      <c r="F16" s="3" t="str">
        <f t="shared" ca="1" si="0"/>
        <v>ATRASADO</v>
      </c>
      <c r="G16" s="4"/>
      <c r="H16" s="5"/>
      <c r="I16" s="5" t="s">
        <v>22</v>
      </c>
    </row>
    <row r="17" spans="2:9" x14ac:dyDescent="0.25">
      <c r="B17" s="4">
        <v>46220</v>
      </c>
      <c r="C17" s="5" t="s">
        <v>16</v>
      </c>
      <c r="D17" s="5" t="s">
        <v>24</v>
      </c>
      <c r="E17" s="6">
        <v>256332</v>
      </c>
      <c r="F17" s="3" t="str">
        <f t="shared" ca="1" si="0"/>
        <v>ATRASADO</v>
      </c>
      <c r="G17" s="4"/>
      <c r="H17" s="5"/>
      <c r="I17" s="5" t="s">
        <v>36</v>
      </c>
    </row>
    <row r="18" spans="2:9" x14ac:dyDescent="0.25">
      <c r="B18" s="4">
        <v>46211</v>
      </c>
      <c r="C18" s="5" t="s">
        <v>23</v>
      </c>
      <c r="D18" s="5" t="s">
        <v>37</v>
      </c>
      <c r="E18" s="6">
        <v>407113</v>
      </c>
      <c r="F18" s="3" t="str">
        <f t="shared" ca="1" si="0"/>
        <v>PAGO</v>
      </c>
      <c r="G18" s="4">
        <v>46206</v>
      </c>
      <c r="H18" s="5" t="s">
        <v>32</v>
      </c>
      <c r="I18" s="5" t="s">
        <v>36</v>
      </c>
    </row>
    <row r="19" spans="2:9" x14ac:dyDescent="0.25">
      <c r="B19" s="4">
        <v>46202</v>
      </c>
      <c r="C19" s="5" t="s">
        <v>33</v>
      </c>
      <c r="D19" s="5" t="s">
        <v>37</v>
      </c>
      <c r="E19" s="6">
        <v>474394</v>
      </c>
      <c r="F19" s="3" t="str">
        <f t="shared" ca="1" si="0"/>
        <v>PAGO</v>
      </c>
      <c r="G19" s="4">
        <v>46199</v>
      </c>
      <c r="H19" s="5" t="s">
        <v>32</v>
      </c>
      <c r="I19" s="5" t="s">
        <v>18</v>
      </c>
    </row>
    <row r="20" spans="2:9" x14ac:dyDescent="0.25">
      <c r="B20" s="4">
        <v>46232</v>
      </c>
      <c r="C20" s="5" t="s">
        <v>25</v>
      </c>
      <c r="D20" s="5" t="s">
        <v>20</v>
      </c>
      <c r="E20" s="6">
        <v>35608</v>
      </c>
      <c r="F20" s="3" t="str">
        <f t="shared" ca="1" si="0"/>
        <v>PAGO</v>
      </c>
      <c r="G20" s="4">
        <v>46232</v>
      </c>
      <c r="H20" s="5" t="s">
        <v>35</v>
      </c>
      <c r="I20" s="5" t="s">
        <v>38</v>
      </c>
    </row>
    <row r="21" spans="2:9" x14ac:dyDescent="0.25">
      <c r="B21" s="4">
        <v>46178</v>
      </c>
      <c r="C21" s="5" t="s">
        <v>25</v>
      </c>
      <c r="D21" s="5" t="s">
        <v>26</v>
      </c>
      <c r="E21" s="6">
        <v>457593</v>
      </c>
      <c r="F21" s="3" t="str">
        <f t="shared" ca="1" si="0"/>
        <v>PAGO</v>
      </c>
      <c r="G21" s="4">
        <v>46173</v>
      </c>
      <c r="H21" s="5" t="s">
        <v>14</v>
      </c>
      <c r="I21" s="5" t="s">
        <v>15</v>
      </c>
    </row>
    <row r="22" spans="2:9" x14ac:dyDescent="0.25">
      <c r="B22" s="4">
        <v>46264</v>
      </c>
      <c r="C22" s="5" t="s">
        <v>39</v>
      </c>
      <c r="D22" s="5" t="s">
        <v>40</v>
      </c>
      <c r="E22" s="6">
        <v>306694</v>
      </c>
      <c r="F22" s="3" t="str">
        <f t="shared" ca="1" si="0"/>
        <v>PENDENTE</v>
      </c>
      <c r="G22" s="4"/>
      <c r="H22" s="5"/>
      <c r="I22" s="5" t="s">
        <v>15</v>
      </c>
    </row>
    <row r="23" spans="2:9" x14ac:dyDescent="0.25">
      <c r="B23" s="4">
        <v>46211</v>
      </c>
      <c r="C23" s="5" t="s">
        <v>12</v>
      </c>
      <c r="D23" s="5" t="s">
        <v>20</v>
      </c>
      <c r="E23" s="6">
        <v>479918</v>
      </c>
      <c r="F23" s="3" t="str">
        <f t="shared" ca="1" si="0"/>
        <v>ATRASADO</v>
      </c>
      <c r="G23" s="4"/>
      <c r="H23" s="5"/>
      <c r="I23" s="5" t="s">
        <v>36</v>
      </c>
    </row>
    <row r="24" spans="2:9" x14ac:dyDescent="0.25">
      <c r="B24" s="4">
        <v>46248</v>
      </c>
      <c r="C24" s="5" t="s">
        <v>33</v>
      </c>
      <c r="D24" s="5" t="s">
        <v>29</v>
      </c>
      <c r="E24" s="6">
        <v>357209</v>
      </c>
      <c r="F24" s="3" t="str">
        <f t="shared" ca="1" si="0"/>
        <v>PAGO</v>
      </c>
      <c r="G24" s="4">
        <f t="shared" ref="G22:G24" ca="1" si="2">TODAY()</f>
        <v>46223</v>
      </c>
      <c r="H24" s="5"/>
      <c r="I24" s="5" t="s">
        <v>22</v>
      </c>
    </row>
    <row r="25" spans="2:9" x14ac:dyDescent="0.25">
      <c r="B25" s="4">
        <v>46260</v>
      </c>
      <c r="C25" s="5" t="s">
        <v>16</v>
      </c>
      <c r="D25" s="5" t="s">
        <v>20</v>
      </c>
      <c r="E25" s="6">
        <v>227667</v>
      </c>
      <c r="F25" s="3" t="str">
        <f t="shared" ca="1" si="0"/>
        <v>PAGO</v>
      </c>
      <c r="G25" s="4">
        <v>46258</v>
      </c>
      <c r="H25" s="5" t="s">
        <v>32</v>
      </c>
      <c r="I25" s="5" t="s">
        <v>38</v>
      </c>
    </row>
    <row r="26" spans="2:9" x14ac:dyDescent="0.25">
      <c r="B26" s="4">
        <v>46252</v>
      </c>
      <c r="C26" s="5" t="s">
        <v>12</v>
      </c>
      <c r="D26" s="5" t="s">
        <v>20</v>
      </c>
      <c r="E26" s="6">
        <v>276131</v>
      </c>
      <c r="F26" s="3" t="str">
        <f t="shared" ca="1" si="0"/>
        <v>PAGO</v>
      </c>
      <c r="G26" s="4">
        <v>46254</v>
      </c>
      <c r="H26" s="5" t="s">
        <v>14</v>
      </c>
      <c r="I26" s="5" t="s">
        <v>18</v>
      </c>
    </row>
    <row r="27" spans="2:9" x14ac:dyDescent="0.25">
      <c r="B27" s="4">
        <v>46248</v>
      </c>
      <c r="C27" s="5" t="s">
        <v>16</v>
      </c>
      <c r="D27" s="5" t="s">
        <v>40</v>
      </c>
      <c r="E27" s="6">
        <v>486368</v>
      </c>
      <c r="F27" s="3" t="str">
        <f t="shared" ca="1" si="0"/>
        <v>PAGO</v>
      </c>
      <c r="G27" s="4">
        <v>46244</v>
      </c>
      <c r="H27" s="5" t="s">
        <v>21</v>
      </c>
      <c r="I27" s="5" t="s">
        <v>15</v>
      </c>
    </row>
    <row r="28" spans="2:9" x14ac:dyDescent="0.25">
      <c r="B28" s="4">
        <v>46199</v>
      </c>
      <c r="C28" s="5" t="s">
        <v>41</v>
      </c>
      <c r="D28" s="5" t="s">
        <v>17</v>
      </c>
      <c r="E28" s="6">
        <v>497059</v>
      </c>
      <c r="F28" s="3" t="str">
        <f t="shared" ca="1" si="0"/>
        <v>PAGO</v>
      </c>
      <c r="G28" s="4">
        <f ca="1">TODAY()</f>
        <v>46223</v>
      </c>
      <c r="H28" s="5"/>
      <c r="I28" s="5" t="s">
        <v>27</v>
      </c>
    </row>
    <row r="29" spans="2:9" x14ac:dyDescent="0.25">
      <c r="B29" s="4">
        <v>46251</v>
      </c>
      <c r="C29" s="5" t="s">
        <v>41</v>
      </c>
      <c r="D29" s="5" t="s">
        <v>29</v>
      </c>
      <c r="E29" s="6">
        <v>472564</v>
      </c>
      <c r="F29" s="3" t="str">
        <f t="shared" ca="1" si="0"/>
        <v>PAGO</v>
      </c>
      <c r="G29" s="4">
        <v>46250</v>
      </c>
      <c r="H29" s="5" t="s">
        <v>14</v>
      </c>
      <c r="I29" s="5" t="s">
        <v>38</v>
      </c>
    </row>
    <row r="30" spans="2:9" x14ac:dyDescent="0.25">
      <c r="B30" s="4">
        <v>46183</v>
      </c>
      <c r="C30" s="5" t="s">
        <v>19</v>
      </c>
      <c r="D30" s="5" t="s">
        <v>34</v>
      </c>
      <c r="E30" s="6">
        <v>290965</v>
      </c>
      <c r="F30" s="3" t="str">
        <f t="shared" ca="1" si="0"/>
        <v>ATRASADO</v>
      </c>
      <c r="G30" s="4"/>
      <c r="H30" s="5"/>
      <c r="I30" s="5" t="s">
        <v>31</v>
      </c>
    </row>
    <row r="31" spans="2:9" x14ac:dyDescent="0.25">
      <c r="B31" s="4">
        <v>46220</v>
      </c>
      <c r="C31" s="5" t="s">
        <v>33</v>
      </c>
      <c r="D31" s="5" t="s">
        <v>37</v>
      </c>
      <c r="E31" s="6">
        <v>393238</v>
      </c>
      <c r="F31" s="3" t="str">
        <f t="shared" ca="1" si="0"/>
        <v>ATRASADO</v>
      </c>
      <c r="G31" s="4"/>
      <c r="H31" s="5"/>
      <c r="I31" s="5" t="s">
        <v>15</v>
      </c>
    </row>
  </sheetData>
  <conditionalFormatting sqref="F5:F31">
    <cfRule type="cellIs" dxfId="56" priority="1" operator="equal">
      <formula>"PAGO"</formula>
    </cfRule>
    <cfRule type="cellIs" dxfId="55" priority="2" operator="equal">
      <formula>"PENDENTE"</formula>
    </cfRule>
    <cfRule type="cellIs" dxfId="54" priority="3" operator="equal">
      <formula>"ATRASADO"</formula>
    </cfRule>
  </conditionalFormatting>
  <dataValidations count="1">
    <dataValidation type="list" allowBlank="1" showInputMessage="1" showErrorMessage="1" sqref="H5:H31">
      <formula1>"BOLETO,TRANSFERENCIA,PIX,DEBITO,CREDITO,DINHEIRO"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9"/>
  <sheetViews>
    <sheetView zoomScale="70" zoomScaleNormal="70" workbookViewId="0"/>
  </sheetViews>
  <sheetFormatPr defaultRowHeight="15" x14ac:dyDescent="0.25"/>
  <cols>
    <col min="2" max="2" width="40.140625" bestFit="1" customWidth="1"/>
    <col min="3" max="3" width="28.140625" bestFit="1" customWidth="1"/>
    <col min="4" max="4" width="24.85546875" bestFit="1" customWidth="1"/>
    <col min="5" max="5" width="31.85546875" style="8" bestFit="1" customWidth="1"/>
    <col min="6" max="6" width="20.42578125" bestFit="1" customWidth="1"/>
    <col min="7" max="7" width="39.42578125" bestFit="1" customWidth="1"/>
    <col min="8" max="8" width="38" bestFit="1" customWidth="1"/>
    <col min="9" max="9" width="35" bestFit="1" customWidth="1"/>
  </cols>
  <sheetData>
    <row r="1" spans="1:9" s="2" customFormat="1" ht="47.25" customHeight="1" x14ac:dyDescent="0.7">
      <c r="A1" s="1" t="s">
        <v>0</v>
      </c>
      <c r="E1" s="21"/>
    </row>
    <row r="4" spans="1:9" ht="15.75" thickBot="1" x14ac:dyDescent="0.3">
      <c r="B4" s="10" t="s">
        <v>3</v>
      </c>
      <c r="C4" s="11" t="s">
        <v>11</v>
      </c>
      <c r="D4" s="11" t="s">
        <v>5</v>
      </c>
      <c r="E4" s="22" t="s">
        <v>6</v>
      </c>
      <c r="F4" s="11" t="s">
        <v>7</v>
      </c>
      <c r="G4" s="11" t="s">
        <v>8</v>
      </c>
      <c r="H4" s="11" t="s">
        <v>9</v>
      </c>
      <c r="I4" s="11" t="s">
        <v>10</v>
      </c>
    </row>
    <row r="5" spans="1:9" x14ac:dyDescent="0.25">
      <c r="B5" s="12">
        <f ca="1">TODAY()</f>
        <v>46223</v>
      </c>
      <c r="C5" s="13"/>
      <c r="D5" s="13"/>
      <c r="E5" s="23"/>
      <c r="F5" s="13" t="str">
        <f t="shared" ref="F5:F29" ca="1" si="0">IF(G5&lt;&gt;"","PAGO",IF(B5&lt;TODAY(),"ATRASADO","PENDENTE"))</f>
        <v>PAGO</v>
      </c>
      <c r="G5" s="14">
        <f ca="1">TODAY()</f>
        <v>46223</v>
      </c>
      <c r="H5" s="13"/>
      <c r="I5" s="13"/>
    </row>
    <row r="6" spans="1:9" ht="15.75" thickBot="1" x14ac:dyDescent="0.3">
      <c r="B6" s="15">
        <v>46281</v>
      </c>
      <c r="C6" s="16" t="s">
        <v>42</v>
      </c>
      <c r="D6" s="16" t="s">
        <v>43</v>
      </c>
      <c r="E6" s="24">
        <v>99157</v>
      </c>
      <c r="F6" s="16" t="str">
        <f t="shared" ca="1" si="0"/>
        <v>PAGO</v>
      </c>
      <c r="G6" s="17">
        <f ca="1">TODAY()</f>
        <v>46223</v>
      </c>
      <c r="H6" s="16"/>
      <c r="I6" s="16" t="s">
        <v>38</v>
      </c>
    </row>
    <row r="7" spans="1:9" x14ac:dyDescent="0.25">
      <c r="B7" s="15">
        <v>46257</v>
      </c>
      <c r="C7" s="16" t="s">
        <v>44</v>
      </c>
      <c r="D7" s="16" t="s">
        <v>45</v>
      </c>
      <c r="E7" s="24">
        <v>1137025</v>
      </c>
      <c r="F7" s="13" t="str">
        <f t="shared" ca="1" si="0"/>
        <v>PAGO</v>
      </c>
      <c r="G7" s="17">
        <v>46255</v>
      </c>
      <c r="H7" s="16" t="s">
        <v>21</v>
      </c>
      <c r="I7" s="16" t="s">
        <v>36</v>
      </c>
    </row>
    <row r="8" spans="1:9" ht="15.75" thickBot="1" x14ac:dyDescent="0.3">
      <c r="B8" s="15">
        <v>46169</v>
      </c>
      <c r="C8" s="16" t="s">
        <v>46</v>
      </c>
      <c r="D8" s="16" t="s">
        <v>47</v>
      </c>
      <c r="E8" s="24">
        <v>1001343</v>
      </c>
      <c r="F8" s="16" t="str">
        <f t="shared" ca="1" si="0"/>
        <v>PAGO</v>
      </c>
      <c r="G8" s="17">
        <v>46167</v>
      </c>
      <c r="H8" s="16" t="s">
        <v>32</v>
      </c>
      <c r="I8" s="16" t="s">
        <v>38</v>
      </c>
    </row>
    <row r="9" spans="1:9" x14ac:dyDescent="0.25">
      <c r="B9" s="15">
        <v>46273</v>
      </c>
      <c r="C9" s="16" t="s">
        <v>48</v>
      </c>
      <c r="D9" s="16" t="s">
        <v>49</v>
      </c>
      <c r="E9" s="24">
        <v>374734</v>
      </c>
      <c r="F9" s="13" t="str">
        <f t="shared" ca="1" si="0"/>
        <v>PAGO</v>
      </c>
      <c r="G9" s="17">
        <f ca="1">TODAY()</f>
        <v>46223</v>
      </c>
      <c r="H9" s="16"/>
      <c r="I9" s="16" t="s">
        <v>31</v>
      </c>
    </row>
    <row r="10" spans="1:9" ht="15.75" thickBot="1" x14ac:dyDescent="0.3">
      <c r="B10" s="15">
        <v>46261</v>
      </c>
      <c r="C10" s="16" t="s">
        <v>50</v>
      </c>
      <c r="D10" s="16" t="s">
        <v>51</v>
      </c>
      <c r="E10" s="24">
        <v>971237</v>
      </c>
      <c r="F10" s="16" t="str">
        <f t="shared" ca="1" si="0"/>
        <v>PAGO</v>
      </c>
      <c r="G10" s="17">
        <v>46257</v>
      </c>
      <c r="H10" s="16" t="s">
        <v>14</v>
      </c>
      <c r="I10" s="16" t="s">
        <v>31</v>
      </c>
    </row>
    <row r="11" spans="1:9" x14ac:dyDescent="0.25">
      <c r="B11" s="15">
        <v>46167</v>
      </c>
      <c r="C11" s="16" t="s">
        <v>52</v>
      </c>
      <c r="D11" s="16" t="s">
        <v>53</v>
      </c>
      <c r="E11" s="24">
        <v>1282241</v>
      </c>
      <c r="F11" s="13" t="str">
        <f t="shared" ca="1" si="0"/>
        <v>PAGO</v>
      </c>
      <c r="G11" s="17">
        <v>46169</v>
      </c>
      <c r="H11" s="16" t="s">
        <v>35</v>
      </c>
      <c r="I11" s="16" t="s">
        <v>38</v>
      </c>
    </row>
    <row r="12" spans="1:9" ht="15.75" thickBot="1" x14ac:dyDescent="0.3">
      <c r="B12" s="15">
        <v>46228</v>
      </c>
      <c r="C12" s="16" t="s">
        <v>46</v>
      </c>
      <c r="D12" s="16" t="s">
        <v>45</v>
      </c>
      <c r="E12" s="24">
        <v>278593</v>
      </c>
      <c r="F12" s="16" t="str">
        <f ca="1">IF(G12&lt;&gt;"","PAGO",IF(B12&lt;TODAY(),"ATRASADO","PENDENTE"))</f>
        <v>PAGO</v>
      </c>
      <c r="G12" s="17">
        <f ca="1">TODAY()</f>
        <v>46223</v>
      </c>
      <c r="H12" s="16"/>
      <c r="I12" s="16" t="s">
        <v>18</v>
      </c>
    </row>
    <row r="13" spans="1:9" x14ac:dyDescent="0.25">
      <c r="B13" s="15">
        <v>46278</v>
      </c>
      <c r="C13" s="16" t="s">
        <v>46</v>
      </c>
      <c r="D13" s="16" t="s">
        <v>51</v>
      </c>
      <c r="E13" s="24">
        <v>1293239</v>
      </c>
      <c r="F13" s="13" t="str">
        <f t="shared" ca="1" si="0"/>
        <v>PENDENTE</v>
      </c>
      <c r="G13" s="17"/>
      <c r="H13" s="16" t="s">
        <v>14</v>
      </c>
      <c r="I13" s="16" t="s">
        <v>22</v>
      </c>
    </row>
    <row r="14" spans="1:9" ht="15.75" thickBot="1" x14ac:dyDescent="0.3">
      <c r="B14" s="15">
        <v>46280</v>
      </c>
      <c r="C14" s="16" t="s">
        <v>54</v>
      </c>
      <c r="D14" s="16" t="s">
        <v>55</v>
      </c>
      <c r="E14" s="24">
        <v>12266</v>
      </c>
      <c r="F14" s="16" t="str">
        <f t="shared" ca="1" si="0"/>
        <v>PAGO</v>
      </c>
      <c r="G14" s="17">
        <v>46281</v>
      </c>
      <c r="H14" s="16" t="s">
        <v>21</v>
      </c>
      <c r="I14" s="16" t="s">
        <v>27</v>
      </c>
    </row>
    <row r="15" spans="1:9" x14ac:dyDescent="0.25">
      <c r="B15" s="15">
        <v>46267</v>
      </c>
      <c r="C15" s="16" t="s">
        <v>52</v>
      </c>
      <c r="D15" s="16" t="s">
        <v>49</v>
      </c>
      <c r="E15" s="24">
        <v>147901</v>
      </c>
      <c r="F15" s="13" t="str">
        <f t="shared" ca="1" si="0"/>
        <v>PAGO</v>
      </c>
      <c r="G15" s="17">
        <v>46263</v>
      </c>
      <c r="H15" s="16" t="s">
        <v>14</v>
      </c>
      <c r="I15" s="16" t="s">
        <v>31</v>
      </c>
    </row>
    <row r="16" spans="1:9" ht="15.75" thickBot="1" x14ac:dyDescent="0.3">
      <c r="B16" s="15">
        <v>46177</v>
      </c>
      <c r="C16" s="16" t="s">
        <v>56</v>
      </c>
      <c r="D16" s="16" t="s">
        <v>49</v>
      </c>
      <c r="E16" s="24">
        <v>561159</v>
      </c>
      <c r="F16" s="16" t="str">
        <f t="shared" ca="1" si="0"/>
        <v>ATRASADO</v>
      </c>
      <c r="G16" s="17"/>
      <c r="H16" s="16"/>
      <c r="I16" s="16" t="s">
        <v>15</v>
      </c>
    </row>
    <row r="17" spans="2:9" x14ac:dyDescent="0.25">
      <c r="B17" s="15">
        <v>46247</v>
      </c>
      <c r="C17" s="16" t="s">
        <v>57</v>
      </c>
      <c r="D17" s="16" t="s">
        <v>58</v>
      </c>
      <c r="E17" s="24">
        <v>71884</v>
      </c>
      <c r="F17" s="13" t="str">
        <f t="shared" ca="1" si="0"/>
        <v>PAGO</v>
      </c>
      <c r="G17" s="17">
        <v>46249</v>
      </c>
      <c r="H17" s="16" t="s">
        <v>21</v>
      </c>
      <c r="I17" s="16" t="s">
        <v>38</v>
      </c>
    </row>
    <row r="18" spans="2:9" ht="15.75" thickBot="1" x14ac:dyDescent="0.3">
      <c r="B18" s="15">
        <v>46223</v>
      </c>
      <c r="C18" s="16" t="s">
        <v>57</v>
      </c>
      <c r="D18" s="16" t="s">
        <v>43</v>
      </c>
      <c r="E18" s="24">
        <v>44260</v>
      </c>
      <c r="F18" s="16" t="str">
        <f t="shared" ca="1" si="0"/>
        <v>PAGO</v>
      </c>
      <c r="G18" s="17">
        <v>46221</v>
      </c>
      <c r="H18" s="16" t="s">
        <v>35</v>
      </c>
      <c r="I18" s="16" t="s">
        <v>27</v>
      </c>
    </row>
    <row r="19" spans="2:9" x14ac:dyDescent="0.25">
      <c r="B19" s="15">
        <v>46219</v>
      </c>
      <c r="C19" s="16" t="s">
        <v>54</v>
      </c>
      <c r="D19" s="16" t="s">
        <v>53</v>
      </c>
      <c r="E19" s="24">
        <v>607481</v>
      </c>
      <c r="F19" s="13" t="str">
        <f t="shared" ca="1" si="0"/>
        <v>PAGO</v>
      </c>
      <c r="G19" s="17">
        <v>46220</v>
      </c>
      <c r="H19" s="16" t="s">
        <v>35</v>
      </c>
      <c r="I19" s="16" t="s">
        <v>31</v>
      </c>
    </row>
    <row r="20" spans="2:9" ht="15.75" thickBot="1" x14ac:dyDescent="0.3">
      <c r="B20" s="15">
        <v>46254</v>
      </c>
      <c r="C20" s="16" t="s">
        <v>59</v>
      </c>
      <c r="D20" s="16" t="s">
        <v>58</v>
      </c>
      <c r="E20" s="24">
        <v>1337831</v>
      </c>
      <c r="F20" s="16" t="str">
        <f t="shared" ca="1" si="0"/>
        <v>PENDENTE</v>
      </c>
      <c r="G20" s="17"/>
      <c r="H20" s="16"/>
      <c r="I20" s="16" t="s">
        <v>36</v>
      </c>
    </row>
    <row r="21" spans="2:9" x14ac:dyDescent="0.25">
      <c r="B21" s="15">
        <v>46179</v>
      </c>
      <c r="C21" s="16" t="s">
        <v>44</v>
      </c>
      <c r="D21" s="16" t="s">
        <v>60</v>
      </c>
      <c r="E21" s="24">
        <v>522722</v>
      </c>
      <c r="F21" s="13" t="str">
        <f t="shared" ca="1" si="0"/>
        <v>PAGO</v>
      </c>
      <c r="G21" s="17">
        <v>46181</v>
      </c>
      <c r="H21" s="16" t="s">
        <v>32</v>
      </c>
      <c r="I21" s="16" t="s">
        <v>38</v>
      </c>
    </row>
    <row r="22" spans="2:9" ht="15.75" thickBot="1" x14ac:dyDescent="0.3">
      <c r="B22" s="15">
        <v>46208</v>
      </c>
      <c r="C22" s="16" t="s">
        <v>52</v>
      </c>
      <c r="D22" s="16" t="s">
        <v>47</v>
      </c>
      <c r="E22" s="24">
        <v>922892</v>
      </c>
      <c r="F22" s="16" t="str">
        <f t="shared" ca="1" si="0"/>
        <v>PAGO</v>
      </c>
      <c r="G22" s="17">
        <v>46207</v>
      </c>
      <c r="H22" s="16" t="s">
        <v>35</v>
      </c>
      <c r="I22" s="16" t="s">
        <v>27</v>
      </c>
    </row>
    <row r="23" spans="2:9" x14ac:dyDescent="0.25">
      <c r="B23" s="15">
        <v>46170</v>
      </c>
      <c r="C23" s="16" t="s">
        <v>46</v>
      </c>
      <c r="D23" s="16" t="s">
        <v>43</v>
      </c>
      <c r="E23" s="24">
        <v>1393655</v>
      </c>
      <c r="F23" s="13" t="str">
        <f t="shared" ca="1" si="0"/>
        <v>PAGO</v>
      </c>
      <c r="G23" s="17">
        <v>46172</v>
      </c>
      <c r="H23" s="16" t="s">
        <v>21</v>
      </c>
      <c r="I23" s="16" t="s">
        <v>15</v>
      </c>
    </row>
    <row r="24" spans="2:9" ht="15.75" thickBot="1" x14ac:dyDescent="0.3">
      <c r="B24" s="15">
        <v>46275</v>
      </c>
      <c r="C24" s="16" t="s">
        <v>42</v>
      </c>
      <c r="D24" s="16" t="s">
        <v>47</v>
      </c>
      <c r="E24" s="24">
        <v>377976</v>
      </c>
      <c r="F24" s="16" t="str">
        <f t="shared" ca="1" si="0"/>
        <v>PAGO</v>
      </c>
      <c r="G24" s="17">
        <f t="shared" ref="G24:G25" ca="1" si="1">TODAY()</f>
        <v>46223</v>
      </c>
      <c r="H24" s="16"/>
      <c r="I24" s="16" t="s">
        <v>36</v>
      </c>
    </row>
    <row r="25" spans="2:9" x14ac:dyDescent="0.25">
      <c r="B25" s="15">
        <v>46263</v>
      </c>
      <c r="C25" s="16" t="s">
        <v>44</v>
      </c>
      <c r="D25" s="16" t="s">
        <v>45</v>
      </c>
      <c r="E25" s="24">
        <v>1468989</v>
      </c>
      <c r="F25" s="13" t="str">
        <f t="shared" ca="1" si="0"/>
        <v>PAGO</v>
      </c>
      <c r="G25" s="17">
        <f t="shared" ca="1" si="1"/>
        <v>46223</v>
      </c>
      <c r="H25" s="16"/>
      <c r="I25" s="16" t="s">
        <v>38</v>
      </c>
    </row>
    <row r="26" spans="2:9" ht="15.75" thickBot="1" x14ac:dyDescent="0.3">
      <c r="B26" s="15">
        <v>46232</v>
      </c>
      <c r="C26" s="16" t="s">
        <v>52</v>
      </c>
      <c r="D26" s="16" t="s">
        <v>47</v>
      </c>
      <c r="E26" s="24">
        <v>643132</v>
      </c>
      <c r="F26" s="16" t="str">
        <f t="shared" ca="1" si="0"/>
        <v>PAGO</v>
      </c>
      <c r="G26" s="17">
        <v>46231</v>
      </c>
      <c r="H26" s="16" t="s">
        <v>35</v>
      </c>
      <c r="I26" s="16" t="s">
        <v>36</v>
      </c>
    </row>
    <row r="27" spans="2:9" x14ac:dyDescent="0.25">
      <c r="B27" s="15">
        <v>46248</v>
      </c>
      <c r="C27" s="16" t="s">
        <v>46</v>
      </c>
      <c r="D27" s="16" t="s">
        <v>47</v>
      </c>
      <c r="E27" s="24">
        <v>890403</v>
      </c>
      <c r="F27" s="13" t="str">
        <f t="shared" ca="1" si="0"/>
        <v>PAGO</v>
      </c>
      <c r="G27" s="17">
        <f t="shared" ref="G27:G29" ca="1" si="2">TODAY()</f>
        <v>46223</v>
      </c>
      <c r="H27" s="16"/>
      <c r="I27" s="16" t="s">
        <v>15</v>
      </c>
    </row>
    <row r="28" spans="2:9" ht="15.75" thickBot="1" x14ac:dyDescent="0.3">
      <c r="B28" s="15">
        <v>46185</v>
      </c>
      <c r="C28" s="16" t="s">
        <v>57</v>
      </c>
      <c r="D28" s="16" t="s">
        <v>58</v>
      </c>
      <c r="E28" s="24">
        <v>159442</v>
      </c>
      <c r="F28" s="16" t="str">
        <f t="shared" ca="1" si="0"/>
        <v>ATRASADO</v>
      </c>
      <c r="G28" s="17"/>
      <c r="H28" s="16"/>
      <c r="I28" s="16" t="s">
        <v>18</v>
      </c>
    </row>
    <row r="29" spans="2:9" x14ac:dyDescent="0.25">
      <c r="B29" s="15">
        <v>46176</v>
      </c>
      <c r="C29" s="16" t="s">
        <v>56</v>
      </c>
      <c r="D29" s="16" t="s">
        <v>58</v>
      </c>
      <c r="E29" s="24">
        <v>955553</v>
      </c>
      <c r="F29" s="13" t="str">
        <f t="shared" ca="1" si="0"/>
        <v>ATRASADO</v>
      </c>
      <c r="G29" s="17"/>
      <c r="H29" s="16"/>
      <c r="I29" s="16" t="s">
        <v>38</v>
      </c>
    </row>
  </sheetData>
  <conditionalFormatting sqref="F5:F29">
    <cfRule type="cellIs" dxfId="53" priority="1" operator="equal">
      <formula>"PAGO"</formula>
    </cfRule>
    <cfRule type="cellIs" dxfId="52" priority="2" operator="equal">
      <formula>"PENDENTE"</formula>
    </cfRule>
    <cfRule type="cellIs" dxfId="51" priority="3" operator="equal">
      <formula>"ATRASADO"</formula>
    </cfRule>
  </conditionalFormatting>
  <dataValidations count="1">
    <dataValidation type="list" allowBlank="1" showInputMessage="1" showErrorMessage="1" sqref="H5:H29">
      <formula1>"BOLETO,TRANSFERENCIA,PIX,DEBITO,CREDITO,DINHEIRO"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9"/>
  <sheetViews>
    <sheetView topLeftCell="A7" zoomScale="85" zoomScaleNormal="85" workbookViewId="0">
      <selection activeCell="B14" sqref="B14"/>
    </sheetView>
  </sheetViews>
  <sheetFormatPr defaultRowHeight="15" x14ac:dyDescent="0.25"/>
  <cols>
    <col min="2" max="2" width="23.85546875" customWidth="1"/>
    <col min="3" max="3" width="21.85546875" customWidth="1"/>
    <col min="4" max="4" width="12.85546875" customWidth="1"/>
    <col min="5" max="6" width="14.5703125" customWidth="1"/>
    <col min="7" max="7" width="6.85546875" customWidth="1"/>
    <col min="8" max="8" width="25.28515625" customWidth="1"/>
    <col min="9" max="9" width="22.28515625" bestFit="1" customWidth="1"/>
    <col min="10" max="11" width="16" customWidth="1"/>
    <col min="12" max="12" width="17" customWidth="1"/>
    <col min="13" max="13" width="14" customWidth="1"/>
    <col min="14" max="14" width="16.5703125" customWidth="1"/>
    <col min="15" max="15" width="19.5703125" customWidth="1"/>
    <col min="16" max="16" width="18.28515625" customWidth="1"/>
    <col min="17" max="17" width="20.28515625" customWidth="1"/>
    <col min="18" max="18" width="19" customWidth="1"/>
    <col min="19" max="19" width="21.85546875" customWidth="1"/>
    <col min="20" max="20" width="19.5703125" customWidth="1"/>
    <col min="21" max="21" width="22" customWidth="1"/>
    <col min="22" max="22" width="20.42578125" customWidth="1"/>
    <col min="23" max="23" width="20.28515625" customWidth="1"/>
    <col min="24" max="24" width="21.5703125" customWidth="1"/>
    <col min="25" max="25" width="20.28515625" customWidth="1"/>
    <col min="26" max="26" width="14" customWidth="1"/>
    <col min="27" max="27" width="16.5703125" customWidth="1"/>
    <col min="28" max="28" width="16" customWidth="1"/>
    <col min="29" max="29" width="20.28515625" customWidth="1"/>
    <col min="30" max="30" width="18.85546875" customWidth="1"/>
    <col min="31" max="31" width="20.28515625" customWidth="1"/>
    <col min="32" max="32" width="18.5703125" bestFit="1" customWidth="1"/>
    <col min="33" max="33" width="20.28515625" bestFit="1" customWidth="1"/>
    <col min="34" max="34" width="19" bestFit="1" customWidth="1"/>
    <col min="35" max="35" width="9.140625" customWidth="1"/>
    <col min="36" max="36" width="11.85546875" customWidth="1"/>
    <col min="37" max="37" width="17.5703125" bestFit="1" customWidth="1"/>
    <col min="38" max="38" width="20.28515625" bestFit="1" customWidth="1"/>
    <col min="39" max="39" width="20.42578125" bestFit="1" customWidth="1"/>
    <col min="40" max="40" width="15.140625" bestFit="1" customWidth="1"/>
    <col min="41" max="41" width="18" bestFit="1" customWidth="1"/>
    <col min="42" max="42" width="20.28515625" bestFit="1" customWidth="1"/>
    <col min="43" max="43" width="18.85546875" bestFit="1" customWidth="1"/>
    <col min="44" max="44" width="30.5703125" bestFit="1" customWidth="1"/>
    <col min="45" max="45" width="18.28515625" bestFit="1" customWidth="1"/>
    <col min="46" max="46" width="23" bestFit="1" customWidth="1"/>
    <col min="47" max="47" width="18.5703125" bestFit="1" customWidth="1"/>
    <col min="48" max="48" width="30.5703125" bestFit="1" customWidth="1"/>
    <col min="49" max="49" width="19" bestFit="1" customWidth="1"/>
    <col min="50" max="50" width="15.7109375" bestFit="1" customWidth="1"/>
    <col min="51" max="51" width="18.42578125" bestFit="1" customWidth="1"/>
    <col min="52" max="52" width="10.7109375" customWidth="1"/>
    <col min="53" max="53" width="10.140625" bestFit="1" customWidth="1"/>
    <col min="54" max="54" width="12.7109375" bestFit="1" customWidth="1"/>
    <col min="56" max="56" width="11.85546875" bestFit="1" customWidth="1"/>
    <col min="57" max="57" width="10.7109375" bestFit="1" customWidth="1"/>
  </cols>
  <sheetData>
    <row r="1" spans="1:12" s="2" customFormat="1" ht="47.25" customHeight="1" x14ac:dyDescent="0.7">
      <c r="A1" s="1" t="s">
        <v>2</v>
      </c>
    </row>
    <row r="4" spans="1:12" ht="15.75" thickBot="1" x14ac:dyDescent="0.3">
      <c r="B4" s="28" t="s">
        <v>69</v>
      </c>
      <c r="C4" s="28" t="s">
        <v>67</v>
      </c>
      <c r="D4" s="29"/>
      <c r="E4" s="29"/>
      <c r="F4" s="29"/>
      <c r="H4" s="18" t="s">
        <v>69</v>
      </c>
      <c r="I4" s="18" t="s">
        <v>67</v>
      </c>
      <c r="J4" s="19"/>
      <c r="K4" s="19"/>
      <c r="L4" s="19"/>
    </row>
    <row r="5" spans="1:12" ht="15.75" thickBot="1" x14ac:dyDescent="0.3">
      <c r="B5" s="28" t="s">
        <v>61</v>
      </c>
      <c r="C5" s="29" t="s">
        <v>68</v>
      </c>
      <c r="D5" s="29" t="s">
        <v>71</v>
      </c>
      <c r="E5" s="29" t="s">
        <v>72</v>
      </c>
      <c r="F5" s="29" t="s">
        <v>62</v>
      </c>
      <c r="H5" s="18" t="s">
        <v>61</v>
      </c>
      <c r="I5" s="19" t="s">
        <v>68</v>
      </c>
      <c r="J5" s="19" t="s">
        <v>71</v>
      </c>
      <c r="K5" s="19" t="s">
        <v>72</v>
      </c>
      <c r="L5" s="19" t="s">
        <v>62</v>
      </c>
    </row>
    <row r="6" spans="1:12" ht="15.75" thickBot="1" x14ac:dyDescent="0.3">
      <c r="B6" s="29" t="s">
        <v>63</v>
      </c>
      <c r="C6" s="27">
        <v>249298</v>
      </c>
      <c r="D6" s="27"/>
      <c r="E6" s="27">
        <v>65169</v>
      </c>
      <c r="F6" s="27">
        <v>314467</v>
      </c>
      <c r="H6" s="20" t="s">
        <v>63</v>
      </c>
      <c r="I6" s="19">
        <v>3677239</v>
      </c>
      <c r="J6" s="19"/>
      <c r="K6" s="19"/>
      <c r="L6" s="19">
        <v>3677239</v>
      </c>
    </row>
    <row r="7" spans="1:12" ht="15.75" thickBot="1" x14ac:dyDescent="0.3">
      <c r="B7" s="29" t="s">
        <v>64</v>
      </c>
      <c r="C7" s="27">
        <v>1698994</v>
      </c>
      <c r="D7" s="27"/>
      <c r="E7" s="27">
        <v>419603</v>
      </c>
      <c r="F7" s="27">
        <v>2118597</v>
      </c>
      <c r="H7" s="20" t="s">
        <v>64</v>
      </c>
      <c r="I7" s="19">
        <v>522722</v>
      </c>
      <c r="J7" s="19"/>
      <c r="K7" s="19">
        <v>1676154</v>
      </c>
      <c r="L7" s="19">
        <v>2198876</v>
      </c>
    </row>
    <row r="8" spans="1:12" ht="15.75" thickBot="1" x14ac:dyDescent="0.3">
      <c r="B8" s="29" t="s">
        <v>65</v>
      </c>
      <c r="C8" s="27">
        <v>1267498</v>
      </c>
      <c r="D8" s="27">
        <v>190566</v>
      </c>
      <c r="E8" s="27">
        <v>1461175</v>
      </c>
      <c r="F8" s="27">
        <v>2919239</v>
      </c>
      <c r="H8" s="20" t="s">
        <v>65</v>
      </c>
      <c r="I8" s="19">
        <v>2496358</v>
      </c>
      <c r="J8" s="19"/>
      <c r="K8" s="19"/>
      <c r="L8" s="19">
        <v>2496358</v>
      </c>
    </row>
    <row r="9" spans="1:12" ht="15.75" thickBot="1" x14ac:dyDescent="0.3">
      <c r="B9" s="29" t="s">
        <v>66</v>
      </c>
      <c r="C9" s="27">
        <v>2635481</v>
      </c>
      <c r="D9" s="27">
        <v>306694</v>
      </c>
      <c r="E9" s="27"/>
      <c r="F9" s="27">
        <v>2942175</v>
      </c>
      <c r="H9" s="20" t="s">
        <v>66</v>
      </c>
      <c r="I9" s="19">
        <v>4539538</v>
      </c>
      <c r="J9" s="19">
        <v>1337831</v>
      </c>
      <c r="K9" s="19"/>
      <c r="L9" s="19">
        <v>5877369</v>
      </c>
    </row>
    <row r="10" spans="1:12" ht="15.75" thickBot="1" x14ac:dyDescent="0.3">
      <c r="B10" s="25" t="s">
        <v>62</v>
      </c>
      <c r="C10" s="26">
        <v>5851271</v>
      </c>
      <c r="D10" s="26">
        <v>497260</v>
      </c>
      <c r="E10" s="26">
        <v>1945947</v>
      </c>
      <c r="F10" s="26">
        <v>8294478</v>
      </c>
      <c r="H10" s="20" t="s">
        <v>70</v>
      </c>
      <c r="I10" s="19">
        <v>1012034</v>
      </c>
      <c r="J10" s="19">
        <v>1293239</v>
      </c>
      <c r="K10" s="19"/>
      <c r="L10" s="19">
        <v>2305273</v>
      </c>
    </row>
    <row r="11" spans="1:12" x14ac:dyDescent="0.25">
      <c r="H11" s="20" t="s">
        <v>62</v>
      </c>
      <c r="I11" s="19">
        <v>12247891</v>
      </c>
      <c r="J11" s="19">
        <v>2631070</v>
      </c>
      <c r="K11" s="19">
        <v>1676154</v>
      </c>
      <c r="L11" s="19">
        <v>16555115</v>
      </c>
    </row>
    <row r="14" spans="1:12" ht="15.75" thickBot="1" x14ac:dyDescent="0.3"/>
    <row r="15" spans="1:12" ht="15.75" thickBot="1" x14ac:dyDescent="0.3"/>
    <row r="16" spans="1:12" ht="15.75" thickBot="1" x14ac:dyDescent="0.3"/>
    <row r="17" ht="15.75" thickBot="1" x14ac:dyDescent="0.3"/>
    <row r="18" ht="15.75" thickBot="1" x14ac:dyDescent="0.3"/>
    <row r="19" ht="15.75" thickBot="1" x14ac:dyDescent="0.3"/>
    <row r="20" ht="15.75" thickBot="1" x14ac:dyDescent="0.3"/>
    <row r="21" ht="15.75" thickBot="1" x14ac:dyDescent="0.3"/>
    <row r="22" ht="15.75" thickBot="1" x14ac:dyDescent="0.3"/>
    <row r="23" ht="15.75" thickBot="1" x14ac:dyDescent="0.3"/>
    <row r="24" ht="15.75" thickBot="1" x14ac:dyDescent="0.3"/>
    <row r="25" ht="15.75" thickBot="1" x14ac:dyDescent="0.3"/>
    <row r="26" ht="15.75" thickBot="1" x14ac:dyDescent="0.3"/>
    <row r="27" ht="15.75" thickBot="1" x14ac:dyDescent="0.3"/>
    <row r="28" ht="15.75" thickBot="1" x14ac:dyDescent="0.3"/>
    <row r="29" ht="15.75" thickBot="1" x14ac:dyDescent="0.3"/>
  </sheetData>
  <pageMargins left="0.511811024" right="0.511811024" top="0.78740157499999996" bottom="0.78740157499999996" header="0.31496062000000002" footer="0.31496062000000002"/>
  <pageSetup paperSize="9" orientation="portrait" r:id="rId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CONTAS A PAGAR</vt:lpstr>
      <vt:lpstr>CONTAS A RECEBER</vt:lpstr>
      <vt:lpstr>ANALISES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2026-07-18T01:37:25Z</dcterms:created>
  <dcterms:modified xsi:type="dcterms:W3CDTF">2026-07-21T01:01:29Z</dcterms:modified>
</cp:coreProperties>
</file>