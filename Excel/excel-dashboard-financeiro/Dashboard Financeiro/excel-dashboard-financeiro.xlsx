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Github\Portfolio\Portfólio\Excel\excel-dashboard-financeiro\Dashboard Financeiro\"/>
    </mc:Choice>
  </mc:AlternateContent>
  <bookViews>
    <workbookView xWindow="0" yWindow="0" windowWidth="12990" windowHeight="5865"/>
  </bookViews>
  <sheets>
    <sheet name="CONTAS A PAGAR" sheetId="5" r:id="rId1"/>
    <sheet name="CONTAS A RECEBER" sheetId="4" r:id="rId2"/>
    <sheet name="ANALISES" sheetId="3" r:id="rId3"/>
  </sheets>
  <calcPr calcId="162913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4" l="1"/>
  <c r="F4" i="4" s="1"/>
  <c r="B4" i="4"/>
  <c r="G5" i="5"/>
  <c r="B5" i="5"/>
  <c r="F5" i="5" l="1"/>
</calcChain>
</file>

<file path=xl/sharedStrings.xml><?xml version="1.0" encoding="utf-8"?>
<sst xmlns="http://schemas.openxmlformats.org/spreadsheetml/2006/main" count="19" uniqueCount="12">
  <si>
    <t>CONTAS A RECEBER</t>
  </si>
  <si>
    <t>CONTAS A PAGAR</t>
  </si>
  <si>
    <t>ANÁLISES</t>
  </si>
  <si>
    <t>DATA DE VENCIMENTO</t>
  </si>
  <si>
    <t>FORNECEDOR</t>
  </si>
  <si>
    <t>DESCRIÇÃO</t>
  </si>
  <si>
    <t>VALOR A PAGAR</t>
  </si>
  <si>
    <t>STATUS</t>
  </si>
  <si>
    <t>DATA DE PAGAMENTO</t>
  </si>
  <si>
    <t>TIPO DE PAGAMENTO</t>
  </si>
  <si>
    <t>CENTRO DE CUSTO</t>
  </si>
  <si>
    <t>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</si>
</sst>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36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0" xfId="0" applyFont="1" applyFill="1"/>
    <xf numFmtId="0" fontId="1" fillId="2" borderId="0" xfId="0" applyFont="1" applyFill="1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</cellXfs>
  <cellStyles count="1">
    <cellStyle name="Normal" xfId="0" builtinId="0"/>
  </cellStyles>
  <dxfs count="26">
    <dxf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ANALISES!A1"/><Relationship Id="rId2" Type="http://schemas.openxmlformats.org/officeDocument/2006/relationships/hyperlink" Target="#'CONTAS A RECEBER'!A1"/><Relationship Id="rId1" Type="http://schemas.openxmlformats.org/officeDocument/2006/relationships/hyperlink" Target="#'CONTAS A PAGAR'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ANALISES!A1"/><Relationship Id="rId2" Type="http://schemas.openxmlformats.org/officeDocument/2006/relationships/hyperlink" Target="#'CONTAS A RECEBER'!A1"/><Relationship Id="rId1" Type="http://schemas.openxmlformats.org/officeDocument/2006/relationships/hyperlink" Target="#'CONTAS A PAGAR'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ANALISES!A1"/><Relationship Id="rId2" Type="http://schemas.openxmlformats.org/officeDocument/2006/relationships/hyperlink" Target="#'CONTAS A RECEBER'!A1"/><Relationship Id="rId1" Type="http://schemas.openxmlformats.org/officeDocument/2006/relationships/hyperlink" Target="#'CONTAS A PAGAR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262371</xdr:colOff>
      <xdr:row>0</xdr:row>
      <xdr:rowOff>64943</xdr:rowOff>
    </xdr:from>
    <xdr:to>
      <xdr:col>2</xdr:col>
      <xdr:colOff>1817544</xdr:colOff>
      <xdr:row>0</xdr:row>
      <xdr:rowOff>569768</xdr:rowOff>
    </xdr:to>
    <xdr:sp macro="" textlink="">
      <xdr:nvSpPr>
        <xdr:cNvPr id="2" name="Retângulo Arredondado 1">
          <a:hlinkClick xmlns:r="http://schemas.openxmlformats.org/officeDocument/2006/relationships" r:id="rId1"/>
        </xdr:cNvPr>
        <xdr:cNvSpPr/>
      </xdr:nvSpPr>
      <xdr:spPr>
        <a:xfrm>
          <a:off x="3570144" y="64943"/>
          <a:ext cx="1565564" cy="504825"/>
        </a:xfrm>
        <a:prstGeom prst="roundRect">
          <a:avLst>
            <a:gd name="adj" fmla="val 18868"/>
          </a:avLst>
        </a:prstGeom>
        <a:solidFill>
          <a:schemeClr val="bg1"/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accent5">
                  <a:lumMod val="50000"/>
                </a:schemeClr>
              </a:solidFill>
            </a:rPr>
            <a:t>CONTAS A PAGAR</a:t>
          </a:r>
        </a:p>
      </xdr:txBody>
    </xdr:sp>
    <xdr:clientData/>
  </xdr:twoCellAnchor>
  <xdr:twoCellAnchor editAs="absolute">
    <xdr:from>
      <xdr:col>3</xdr:col>
      <xdr:colOff>395722</xdr:colOff>
      <xdr:row>0</xdr:row>
      <xdr:rowOff>49357</xdr:rowOff>
    </xdr:from>
    <xdr:to>
      <xdr:col>4</xdr:col>
      <xdr:colOff>288349</xdr:colOff>
      <xdr:row>0</xdr:row>
      <xdr:rowOff>554182</xdr:rowOff>
    </xdr:to>
    <xdr:sp macro="" textlink="">
      <xdr:nvSpPr>
        <xdr:cNvPr id="3" name="Retângulo Arredondado 2">
          <a:hlinkClick xmlns:r="http://schemas.openxmlformats.org/officeDocument/2006/relationships" r:id="rId2"/>
        </xdr:cNvPr>
        <xdr:cNvSpPr/>
      </xdr:nvSpPr>
      <xdr:spPr>
        <a:xfrm>
          <a:off x="5587713" y="49357"/>
          <a:ext cx="1562100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/>
            <a:t>CONTAS A RECEBER</a:t>
          </a:r>
        </a:p>
      </xdr:txBody>
    </xdr:sp>
    <xdr:clientData/>
  </xdr:twoCellAnchor>
  <xdr:twoCellAnchor editAs="absolute">
    <xdr:from>
      <xdr:col>4</xdr:col>
      <xdr:colOff>807893</xdr:colOff>
      <xdr:row>0</xdr:row>
      <xdr:rowOff>45893</xdr:rowOff>
    </xdr:from>
    <xdr:to>
      <xdr:col>5</xdr:col>
      <xdr:colOff>232930</xdr:colOff>
      <xdr:row>0</xdr:row>
      <xdr:rowOff>550718</xdr:rowOff>
    </xdr:to>
    <xdr:sp macro="" textlink="">
      <xdr:nvSpPr>
        <xdr:cNvPr id="4" name="Retângulo Arredondado 3">
          <a:hlinkClick xmlns:r="http://schemas.openxmlformats.org/officeDocument/2006/relationships" r:id="rId3"/>
        </xdr:cNvPr>
        <xdr:cNvSpPr/>
      </xdr:nvSpPr>
      <xdr:spPr>
        <a:xfrm>
          <a:off x="7672821" y="45893"/>
          <a:ext cx="1565564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/>
            <a:t>ANÁLISES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712644</xdr:colOff>
      <xdr:row>0</xdr:row>
      <xdr:rowOff>47625</xdr:rowOff>
    </xdr:from>
    <xdr:to>
      <xdr:col>3</xdr:col>
      <xdr:colOff>397454</xdr:colOff>
      <xdr:row>0</xdr:row>
      <xdr:rowOff>552450</xdr:rowOff>
    </xdr:to>
    <xdr:sp macro="" textlink="">
      <xdr:nvSpPr>
        <xdr:cNvPr id="2" name="Retângulo Arredondado 1">
          <a:hlinkClick xmlns:r="http://schemas.openxmlformats.org/officeDocument/2006/relationships" r:id="rId1"/>
        </xdr:cNvPr>
        <xdr:cNvSpPr/>
      </xdr:nvSpPr>
      <xdr:spPr>
        <a:xfrm>
          <a:off x="4003099" y="47625"/>
          <a:ext cx="1555173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bg1"/>
              </a:solidFill>
            </a:rPr>
            <a:t>CONTAS A PAGAR</a:t>
          </a:r>
        </a:p>
      </xdr:txBody>
    </xdr:sp>
    <xdr:clientData/>
  </xdr:twoCellAnchor>
  <xdr:twoCellAnchor editAs="absolute">
    <xdr:from>
      <xdr:col>3</xdr:col>
      <xdr:colOff>811358</xdr:colOff>
      <xdr:row>0</xdr:row>
      <xdr:rowOff>49356</xdr:rowOff>
    </xdr:from>
    <xdr:to>
      <xdr:col>4</xdr:col>
      <xdr:colOff>703985</xdr:colOff>
      <xdr:row>0</xdr:row>
      <xdr:rowOff>554181</xdr:rowOff>
    </xdr:to>
    <xdr:sp macro="" textlink="">
      <xdr:nvSpPr>
        <xdr:cNvPr id="3" name="Retângulo Arredondado 2">
          <a:hlinkClick xmlns:r="http://schemas.openxmlformats.org/officeDocument/2006/relationships" r:id="rId2"/>
        </xdr:cNvPr>
        <xdr:cNvSpPr/>
      </xdr:nvSpPr>
      <xdr:spPr>
        <a:xfrm>
          <a:off x="5972176" y="49356"/>
          <a:ext cx="1555173" cy="504825"/>
        </a:xfrm>
        <a:prstGeom prst="roundRect">
          <a:avLst>
            <a:gd name="adj" fmla="val 18868"/>
          </a:avLst>
        </a:prstGeom>
        <a:solidFill>
          <a:schemeClr val="bg1"/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>
              <a:solidFill>
                <a:schemeClr val="accent5">
                  <a:lumMod val="50000"/>
                </a:schemeClr>
              </a:solidFill>
            </a:rPr>
            <a:t>CONTAS A RECEBER</a:t>
          </a:r>
        </a:p>
      </xdr:txBody>
    </xdr:sp>
    <xdr:clientData/>
  </xdr:twoCellAnchor>
  <xdr:twoCellAnchor editAs="absolute">
    <xdr:from>
      <xdr:col>4</xdr:col>
      <xdr:colOff>1206211</xdr:colOff>
      <xdr:row>0</xdr:row>
      <xdr:rowOff>45893</xdr:rowOff>
    </xdr:from>
    <xdr:to>
      <xdr:col>5</xdr:col>
      <xdr:colOff>631248</xdr:colOff>
      <xdr:row>0</xdr:row>
      <xdr:rowOff>550718</xdr:rowOff>
    </xdr:to>
    <xdr:sp macro="" textlink="">
      <xdr:nvSpPr>
        <xdr:cNvPr id="4" name="Retângulo Arredondado 3">
          <a:hlinkClick xmlns:r="http://schemas.openxmlformats.org/officeDocument/2006/relationships" r:id="rId3"/>
        </xdr:cNvPr>
        <xdr:cNvSpPr/>
      </xdr:nvSpPr>
      <xdr:spPr>
        <a:xfrm>
          <a:off x="8029575" y="45893"/>
          <a:ext cx="1555173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/>
            <a:t>ANÁLISES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522144</xdr:colOff>
      <xdr:row>0</xdr:row>
      <xdr:rowOff>64943</xdr:rowOff>
    </xdr:from>
    <xdr:to>
      <xdr:col>8</xdr:col>
      <xdr:colOff>258908</xdr:colOff>
      <xdr:row>0</xdr:row>
      <xdr:rowOff>569768</xdr:rowOff>
    </xdr:to>
    <xdr:sp macro="" textlink="">
      <xdr:nvSpPr>
        <xdr:cNvPr id="2" name="Retângulo Arredondado 1">
          <a:hlinkClick xmlns:r="http://schemas.openxmlformats.org/officeDocument/2006/relationships" r:id="rId1"/>
        </xdr:cNvPr>
        <xdr:cNvSpPr/>
      </xdr:nvSpPr>
      <xdr:spPr>
        <a:xfrm>
          <a:off x="3552826" y="64943"/>
          <a:ext cx="1555173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bg1"/>
              </a:solidFill>
            </a:rPr>
            <a:t>CONTAS A PAGAR</a:t>
          </a:r>
        </a:p>
      </xdr:txBody>
    </xdr:sp>
    <xdr:clientData/>
  </xdr:twoCellAnchor>
  <xdr:twoCellAnchor editAs="absolute">
    <xdr:from>
      <xdr:col>9</xdr:col>
      <xdr:colOff>101313</xdr:colOff>
      <xdr:row>0</xdr:row>
      <xdr:rowOff>49357</xdr:rowOff>
    </xdr:from>
    <xdr:to>
      <xdr:col>11</xdr:col>
      <xdr:colOff>444213</xdr:colOff>
      <xdr:row>0</xdr:row>
      <xdr:rowOff>554182</xdr:rowOff>
    </xdr:to>
    <xdr:sp macro="" textlink="">
      <xdr:nvSpPr>
        <xdr:cNvPr id="3" name="Retângulo Arredondado 2">
          <a:hlinkClick xmlns:r="http://schemas.openxmlformats.org/officeDocument/2006/relationships" r:id="rId2"/>
        </xdr:cNvPr>
        <xdr:cNvSpPr/>
      </xdr:nvSpPr>
      <xdr:spPr>
        <a:xfrm>
          <a:off x="5556540" y="49357"/>
          <a:ext cx="1555173" cy="504825"/>
        </a:xfrm>
        <a:prstGeom prst="roundRect">
          <a:avLst>
            <a:gd name="adj" fmla="val 18868"/>
          </a:avLst>
        </a:prstGeom>
        <a:solidFill>
          <a:schemeClr val="accent5">
            <a:lumMod val="50000"/>
          </a:schemeClr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/>
            <a:t>CONTAS A RECEBER</a:t>
          </a:r>
        </a:p>
      </xdr:txBody>
    </xdr:sp>
    <xdr:clientData/>
  </xdr:twoCellAnchor>
  <xdr:twoCellAnchor editAs="absolute">
    <xdr:from>
      <xdr:col>12</xdr:col>
      <xdr:colOff>357621</xdr:colOff>
      <xdr:row>0</xdr:row>
      <xdr:rowOff>45893</xdr:rowOff>
    </xdr:from>
    <xdr:to>
      <xdr:col>15</xdr:col>
      <xdr:colOff>94385</xdr:colOff>
      <xdr:row>0</xdr:row>
      <xdr:rowOff>550718</xdr:rowOff>
    </xdr:to>
    <xdr:sp macro="" textlink="">
      <xdr:nvSpPr>
        <xdr:cNvPr id="4" name="Retângulo Arredondado 3">
          <a:hlinkClick xmlns:r="http://schemas.openxmlformats.org/officeDocument/2006/relationships" r:id="rId3"/>
        </xdr:cNvPr>
        <xdr:cNvSpPr/>
      </xdr:nvSpPr>
      <xdr:spPr>
        <a:xfrm>
          <a:off x="7631257" y="45893"/>
          <a:ext cx="1555173" cy="504825"/>
        </a:xfrm>
        <a:prstGeom prst="roundRect">
          <a:avLst>
            <a:gd name="adj" fmla="val 18868"/>
          </a:avLst>
        </a:prstGeom>
        <a:solidFill>
          <a:schemeClr val="bg1"/>
        </a:solidFill>
        <a:ln>
          <a:solidFill>
            <a:schemeClr val="bg1"/>
          </a:solidFill>
        </a:ln>
        <a:effectLst>
          <a:glow rad="1016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accent5">
                  <a:lumMod val="50000"/>
                </a:schemeClr>
              </a:solidFill>
            </a:rPr>
            <a:t>ANÁLISES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abela1" displayName="Tabela1" ref="B4:I5" totalsRowShown="0" headerRowDxfId="22" dataDxfId="21">
  <autoFilter ref="B4:I5"/>
  <tableColumns count="8">
    <tableColumn id="1" name="DATA DE VENCIMENTO" dataDxfId="20">
      <calculatedColumnFormula>TODAY()</calculatedColumnFormula>
    </tableColumn>
    <tableColumn id="2" name="FORNECEDOR" dataDxfId="19"/>
    <tableColumn id="3" name="DESCRIÇÃO" dataDxfId="18"/>
    <tableColumn id="4" name="VALOR A PAGAR" dataDxfId="17"/>
    <tableColumn id="5" name="STATUS" dataDxfId="16">
      <calculatedColumnFormula>IF(G5&lt;&gt;"","PAGO",IF(B5&lt;TODAY(),"ATRASADO","PENDENTE"))</calculatedColumnFormula>
    </tableColumn>
    <tableColumn id="6" name="DATA DE PAGAMENTO" dataDxfId="15">
      <calculatedColumnFormula>TODAY()</calculatedColumnFormula>
    </tableColumn>
    <tableColumn id="7" name="TIPO DE PAGAMENTO" dataDxfId="14"/>
    <tableColumn id="8" name="CENTRO DE CUSTO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ela13" displayName="Tabela13" ref="B3:I4" totalsRowShown="0" headerRowDxfId="9" dataDxfId="8">
  <autoFilter ref="B3:I4"/>
  <tableColumns count="8">
    <tableColumn id="1" name="DATA DE VENCIMENTO" dataDxfId="7">
      <calculatedColumnFormula>TODAY()</calculatedColumnFormula>
    </tableColumn>
    <tableColumn id="2" name="CLIENTE" dataDxfId="6"/>
    <tableColumn id="3" name="DESCRIÇÃO" dataDxfId="5"/>
    <tableColumn id="4" name="VALOR A PAGAR" dataDxfId="4"/>
    <tableColumn id="5" name="STATUS" dataDxfId="3">
      <calculatedColumnFormula>IF(G4&lt;&gt;"","PAGO",IF(B4&lt;TODAY(),"ATRASADO","PENDENTE"))</calculatedColumnFormula>
    </tableColumn>
    <tableColumn id="6" name="DATA DE PAGAMENTO" dataDxfId="2">
      <calculatedColumnFormula>TODAY()</calculatedColumnFormula>
    </tableColumn>
    <tableColumn id="7" name="TIPO DE PAGAMENTO" dataDxfId="1"/>
    <tableColumn id="8" name="CENTRO DE CUST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tabSelected="1" zoomScale="55" zoomScaleNormal="55" workbookViewId="0">
      <selection activeCell="L21" sqref="L21"/>
    </sheetView>
  </sheetViews>
  <sheetFormatPr defaultRowHeight="15" x14ac:dyDescent="0.25"/>
  <cols>
    <col min="2" max="2" width="40.140625" bestFit="1" customWidth="1"/>
    <col min="3" max="3" width="28.140625" bestFit="1" customWidth="1"/>
    <col min="4" max="4" width="24.85546875" bestFit="1" customWidth="1"/>
    <col min="5" max="5" width="31.85546875" bestFit="1" customWidth="1"/>
    <col min="6" max="6" width="20.42578125" bestFit="1" customWidth="1"/>
    <col min="7" max="7" width="39.42578125" bestFit="1" customWidth="1"/>
    <col min="8" max="8" width="30.42578125" customWidth="1"/>
    <col min="9" max="9" width="27.5703125" customWidth="1"/>
  </cols>
  <sheetData>
    <row r="1" spans="1:9" s="2" customFormat="1" ht="47.25" customHeight="1" x14ac:dyDescent="0.7">
      <c r="A1" s="1" t="s">
        <v>1</v>
      </c>
    </row>
    <row r="4" spans="1:9" x14ac:dyDescent="0.25"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spans="1:9" x14ac:dyDescent="0.25">
      <c r="B5" s="5">
        <f ca="1">TODAY()</f>
        <v>46222</v>
      </c>
      <c r="C5" s="4"/>
      <c r="D5" s="4"/>
      <c r="E5" s="4"/>
      <c r="F5" s="4" t="str">
        <f ca="1">IF(G5&lt;&gt;"","PAGO",IF(B5&lt;TODAY(),"ATRASADO","PENDENTE"))</f>
        <v>PAGO</v>
      </c>
      <c r="G5" s="5">
        <f ca="1">TODAY()</f>
        <v>46222</v>
      </c>
      <c r="H5" s="4"/>
      <c r="I5" s="4"/>
    </row>
    <row r="7" spans="1:9" x14ac:dyDescent="0.25">
      <c r="B7" s="3"/>
    </row>
  </sheetData>
  <conditionalFormatting sqref="F5">
    <cfRule type="cellIs" dxfId="25" priority="3" operator="equal">
      <formula>"ATRASADO"</formula>
    </cfRule>
    <cfRule type="cellIs" dxfId="24" priority="2" operator="equal">
      <formula>"PENDENTE"</formula>
    </cfRule>
    <cfRule type="cellIs" dxfId="23" priority="1" operator="equal">
      <formula>"PAGO"</formula>
    </cfRule>
  </conditionalFormatting>
  <dataValidations count="2">
    <dataValidation type="list" allowBlank="1" showInputMessage="1" showErrorMessage="1" sqref="H5">
      <formula1>"BOLETO,TRANSFERENCIA,PIX,DEBITO,CREDITO,DINHEIRO"</formula1>
    </dataValidation>
    <dataValidation type="list" allowBlank="1" showInputMessage="1" showErrorMessage="1" sqref="I4">
      <formula1>"MORADIA,ALIMENTAÇÃO,TRANSPORTE,PESSOAL,ADMINISTRATIVO"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zoomScale="55" zoomScaleNormal="55" workbookViewId="0">
      <selection activeCell="D15" sqref="D15:D16"/>
    </sheetView>
  </sheetViews>
  <sheetFormatPr defaultRowHeight="15" x14ac:dyDescent="0.25"/>
  <cols>
    <col min="2" max="2" width="40.140625" bestFit="1" customWidth="1"/>
    <col min="3" max="3" width="28.140625" bestFit="1" customWidth="1"/>
    <col min="4" max="4" width="24.85546875" bestFit="1" customWidth="1"/>
    <col min="5" max="5" width="31.85546875" bestFit="1" customWidth="1"/>
    <col min="6" max="6" width="20.42578125" bestFit="1" customWidth="1"/>
    <col min="7" max="7" width="39.42578125" bestFit="1" customWidth="1"/>
    <col min="8" max="8" width="38" bestFit="1" customWidth="1"/>
    <col min="9" max="9" width="35" bestFit="1" customWidth="1"/>
  </cols>
  <sheetData>
    <row r="1" spans="1:9" s="2" customFormat="1" ht="47.25" customHeight="1" x14ac:dyDescent="0.7">
      <c r="A1" s="1" t="s">
        <v>0</v>
      </c>
    </row>
    <row r="3" spans="1:9" x14ac:dyDescent="0.25">
      <c r="B3" s="6" t="s">
        <v>3</v>
      </c>
      <c r="C3" s="6" t="s">
        <v>11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10</v>
      </c>
    </row>
    <row r="4" spans="1:9" x14ac:dyDescent="0.25">
      <c r="B4" s="7">
        <f ca="1">TODAY()</f>
        <v>46222</v>
      </c>
      <c r="C4" s="6"/>
      <c r="D4" s="6"/>
      <c r="E4" s="6"/>
      <c r="F4" s="6" t="str">
        <f ca="1">IF(G4&lt;&gt;"","PAGO",IF(B4&lt;TODAY(),"ATRASADO","PENDENTE"))</f>
        <v>PAGO</v>
      </c>
      <c r="G4" s="7">
        <f ca="1">TODAY()</f>
        <v>46222</v>
      </c>
      <c r="H4" s="6"/>
      <c r="I4" s="6"/>
    </row>
  </sheetData>
  <conditionalFormatting sqref="F4">
    <cfRule type="cellIs" dxfId="12" priority="1" operator="equal">
      <formula>"PAGO"</formula>
    </cfRule>
    <cfRule type="cellIs" dxfId="11" priority="2" operator="equal">
      <formula>"PENDENTE"</formula>
    </cfRule>
    <cfRule type="cellIs" dxfId="10" priority="3" operator="equal">
      <formula>"ATRASADO"</formula>
    </cfRule>
  </conditionalFormatting>
  <dataValidations count="2">
    <dataValidation type="list" allowBlank="1" showInputMessage="1" showErrorMessage="1" sqref="I3">
      <formula1>"MORADIA,ALIMENTAÇÃO,TRANSPORTE,PESSOAL,ADMINISTRATIVO"</formula1>
    </dataValidation>
    <dataValidation type="list" allowBlank="1" showInputMessage="1" showErrorMessage="1" sqref="H4">
      <formula1>"BOLETO,TRANSFERENCIA,PIX,DEBITO,CREDITO,DINHEIRO"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55" zoomScaleNormal="55" workbookViewId="0"/>
  </sheetViews>
  <sheetFormatPr defaultRowHeight="15" x14ac:dyDescent="0.25"/>
  <sheetData>
    <row r="1" spans="1:1" s="2" customFormat="1" ht="47.25" customHeight="1" x14ac:dyDescent="0.7">
      <c r="A1" s="1" t="s">
        <v>2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CONTAS A PAGAR</vt:lpstr>
      <vt:lpstr>CONTAS A RECEBER</vt:lpstr>
      <vt:lpstr>ANALISES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2026-07-18T01:37:25Z</dcterms:created>
  <dcterms:modified xsi:type="dcterms:W3CDTF">2026-07-20T00:47:01Z</dcterms:modified>
</cp:coreProperties>
</file>